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xr:revisionPtr revIDLastSave="0" documentId="13_ncr:1_{AB703670-B74A-4E4F-97B3-D8F11B6BA749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Sheet1" sheetId="1" r:id="rId1"/>
    <sheet name="Customer_RFM" sheetId="2" r:id="rId2"/>
    <sheet name="Segment analysis" sheetId="3" r:id="rId3"/>
  </sheets>
  <definedNames>
    <definedName name="_xlnm._FilterDatabase" localSheetId="1" hidden="1">Customer_RFM!$I$1:$I$200</definedName>
    <definedName name="_xlnm._FilterDatabase" localSheetId="0" hidden="1">Sheet1!$J$1:$J$1002</definedName>
  </definedNames>
  <calcPr calcId="191029"/>
  <pivotCaches>
    <pivotCache cacheId="17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1" l="1"/>
  <c r="B14" i="3"/>
  <c r="B13" i="3"/>
  <c r="L676" i="1"/>
  <c r="G3" i="2" a="1"/>
  <c r="G3" i="2" s="1"/>
  <c r="G4" i="2" a="1"/>
  <c r="G4" i="2" s="1"/>
  <c r="G5" i="2" a="1"/>
  <c r="G5" i="2" s="1"/>
  <c r="G6" i="2" a="1"/>
  <c r="G6" i="2" s="1"/>
  <c r="G7" i="2" a="1"/>
  <c r="G7" i="2" s="1"/>
  <c r="G8" i="2" a="1"/>
  <c r="G8" i="2" s="1"/>
  <c r="G9" i="2" a="1"/>
  <c r="G9" i="2" s="1"/>
  <c r="G10" i="2" a="1"/>
  <c r="G10" i="2" s="1"/>
  <c r="G11" i="2" a="1"/>
  <c r="G11" i="2" s="1"/>
  <c r="G12" i="2" a="1"/>
  <c r="G12" i="2" s="1"/>
  <c r="G13" i="2" a="1"/>
  <c r="G13" i="2" s="1"/>
  <c r="G14" i="2" a="1"/>
  <c r="G14" i="2" s="1"/>
  <c r="G15" i="2" a="1"/>
  <c r="G15" i="2" s="1"/>
  <c r="G16" i="2" a="1"/>
  <c r="G16" i="2" s="1"/>
  <c r="G17" i="2" a="1"/>
  <c r="G17" i="2"/>
  <c r="G18" i="2" a="1"/>
  <c r="G18" i="2" s="1"/>
  <c r="G19" i="2" a="1"/>
  <c r="G19" i="2" s="1"/>
  <c r="G20" i="2" a="1"/>
  <c r="G20" i="2" s="1"/>
  <c r="G21" i="2" a="1"/>
  <c r="G21" i="2" s="1"/>
  <c r="G22" i="2" a="1"/>
  <c r="G22" i="2" s="1"/>
  <c r="G23" i="2" a="1"/>
  <c r="G23" i="2" s="1"/>
  <c r="G24" i="2" a="1"/>
  <c r="G24" i="2" s="1"/>
  <c r="G25" i="2" a="1"/>
  <c r="G25" i="2" s="1"/>
  <c r="G26" i="2" a="1"/>
  <c r="G26" i="2" s="1"/>
  <c r="G27" i="2" a="1"/>
  <c r="G27" i="2" s="1"/>
  <c r="G28" i="2" a="1"/>
  <c r="G28" i="2" s="1"/>
  <c r="G29" i="2" a="1"/>
  <c r="G29" i="2" s="1"/>
  <c r="G30" i="2" a="1"/>
  <c r="G30" i="2" s="1"/>
  <c r="G31" i="2" a="1"/>
  <c r="G31" i="2" s="1"/>
  <c r="G32" i="2" a="1"/>
  <c r="G32" i="2" s="1"/>
  <c r="G33" i="2" a="1"/>
  <c r="G33" i="2" s="1"/>
  <c r="G34" i="2" a="1"/>
  <c r="G34" i="2" s="1"/>
  <c r="G35" i="2" a="1"/>
  <c r="G35" i="2" s="1"/>
  <c r="G36" i="2" a="1"/>
  <c r="G36" i="2" s="1"/>
  <c r="G37" i="2" a="1"/>
  <c r="G37" i="2" s="1"/>
  <c r="G38" i="2" a="1"/>
  <c r="G38" i="2" s="1"/>
  <c r="G39" i="2" a="1"/>
  <c r="G39" i="2" s="1"/>
  <c r="G40" i="2" a="1"/>
  <c r="G40" i="2" s="1"/>
  <c r="G41" i="2" a="1"/>
  <c r="G41" i="2"/>
  <c r="G42" i="2" a="1"/>
  <c r="G42" i="2" s="1"/>
  <c r="G43" i="2" a="1"/>
  <c r="G43" i="2" s="1"/>
  <c r="G44" i="2" a="1"/>
  <c r="G44" i="2" s="1"/>
  <c r="G45" i="2" a="1"/>
  <c r="G45" i="2" s="1"/>
  <c r="G46" i="2" a="1"/>
  <c r="G46" i="2" s="1"/>
  <c r="G47" i="2" a="1"/>
  <c r="G47" i="2" s="1"/>
  <c r="G48" i="2" a="1"/>
  <c r="G48" i="2" s="1"/>
  <c r="G49" i="2" a="1"/>
  <c r="G49" i="2" s="1"/>
  <c r="G50" i="2" a="1"/>
  <c r="G50" i="2" s="1"/>
  <c r="G51" i="2" a="1"/>
  <c r="G51" i="2" s="1"/>
  <c r="G52" i="2" a="1"/>
  <c r="G52" i="2" s="1"/>
  <c r="G53" i="2" a="1"/>
  <c r="G53" i="2" s="1"/>
  <c r="G54" i="2" a="1"/>
  <c r="G54" i="2" s="1"/>
  <c r="G55" i="2" a="1"/>
  <c r="G55" i="2" s="1"/>
  <c r="G56" i="2" a="1"/>
  <c r="G56" i="2" s="1"/>
  <c r="G57" i="2" a="1"/>
  <c r="G57" i="2" s="1"/>
  <c r="G58" i="2" a="1"/>
  <c r="G58" i="2" s="1"/>
  <c r="G59" i="2" a="1"/>
  <c r="G59" i="2" s="1"/>
  <c r="G60" i="2" a="1"/>
  <c r="G60" i="2" s="1"/>
  <c r="G61" i="2" a="1"/>
  <c r="G61" i="2" s="1"/>
  <c r="G62" i="2" a="1"/>
  <c r="G62" i="2" s="1"/>
  <c r="G63" i="2" a="1"/>
  <c r="G63" i="2" s="1"/>
  <c r="G64" i="2" a="1"/>
  <c r="G64" i="2" s="1"/>
  <c r="G65" i="2" a="1"/>
  <c r="G65" i="2" s="1"/>
  <c r="G66" i="2" a="1"/>
  <c r="G66" i="2" s="1"/>
  <c r="G67" i="2" a="1"/>
  <c r="G67" i="2" s="1"/>
  <c r="G68" i="2" a="1"/>
  <c r="G68" i="2" s="1"/>
  <c r="G69" i="2" a="1"/>
  <c r="G69" i="2" s="1"/>
  <c r="G70" i="2" a="1"/>
  <c r="G70" i="2" s="1"/>
  <c r="G71" i="2" a="1"/>
  <c r="G71" i="2" s="1"/>
  <c r="G72" i="2" a="1"/>
  <c r="G72" i="2" s="1"/>
  <c r="G73" i="2" a="1"/>
  <c r="G73" i="2" s="1"/>
  <c r="G74" i="2" a="1"/>
  <c r="G74" i="2" s="1"/>
  <c r="G75" i="2" a="1"/>
  <c r="G75" i="2" s="1"/>
  <c r="G76" i="2" a="1"/>
  <c r="G76" i="2" s="1"/>
  <c r="G77" i="2" a="1"/>
  <c r="G77" i="2" s="1"/>
  <c r="G78" i="2" a="1"/>
  <c r="G78" i="2" s="1"/>
  <c r="G79" i="2" a="1"/>
  <c r="G79" i="2" s="1"/>
  <c r="G80" i="2" a="1"/>
  <c r="G80" i="2" s="1"/>
  <c r="G81" i="2" a="1"/>
  <c r="G81" i="2" s="1"/>
  <c r="G82" i="2" a="1"/>
  <c r="G82" i="2" s="1"/>
  <c r="G83" i="2" a="1"/>
  <c r="G83" i="2" s="1"/>
  <c r="G84" i="2" a="1"/>
  <c r="G84" i="2" s="1"/>
  <c r="G85" i="2" a="1"/>
  <c r="G85" i="2" s="1"/>
  <c r="G86" i="2" a="1"/>
  <c r="G86" i="2" s="1"/>
  <c r="G87" i="2" a="1"/>
  <c r="G87" i="2" s="1"/>
  <c r="G88" i="2" a="1"/>
  <c r="G88" i="2" s="1"/>
  <c r="G89" i="2" a="1"/>
  <c r="G89" i="2" s="1"/>
  <c r="G90" i="2" a="1"/>
  <c r="G90" i="2" s="1"/>
  <c r="G91" i="2" a="1"/>
  <c r="G91" i="2" s="1"/>
  <c r="G92" i="2" a="1"/>
  <c r="G92" i="2" s="1"/>
  <c r="G93" i="2" a="1"/>
  <c r="G93" i="2" s="1"/>
  <c r="G94" i="2" a="1"/>
  <c r="G94" i="2" s="1"/>
  <c r="G95" i="2" a="1"/>
  <c r="G95" i="2" s="1"/>
  <c r="G96" i="2" a="1"/>
  <c r="G96" i="2" s="1"/>
  <c r="G97" i="2" a="1"/>
  <c r="G97" i="2" s="1"/>
  <c r="G98" i="2" a="1"/>
  <c r="G98" i="2" s="1"/>
  <c r="G99" i="2" a="1"/>
  <c r="G99" i="2" s="1"/>
  <c r="G100" i="2" a="1"/>
  <c r="G100" i="2" s="1"/>
  <c r="G101" i="2" a="1"/>
  <c r="G101" i="2" s="1"/>
  <c r="G102" i="2" a="1"/>
  <c r="G102" i="2" s="1"/>
  <c r="G103" i="2" a="1"/>
  <c r="G103" i="2" s="1"/>
  <c r="G104" i="2" a="1"/>
  <c r="G104" i="2" s="1"/>
  <c r="G105" i="2" a="1"/>
  <c r="G105" i="2" s="1"/>
  <c r="G106" i="2" a="1"/>
  <c r="G106" i="2" s="1"/>
  <c r="G107" i="2" a="1"/>
  <c r="G107" i="2" s="1"/>
  <c r="G108" i="2" a="1"/>
  <c r="G108" i="2" s="1"/>
  <c r="G109" i="2" a="1"/>
  <c r="G109" i="2" s="1"/>
  <c r="G110" i="2" a="1"/>
  <c r="G110" i="2" s="1"/>
  <c r="G111" i="2" a="1"/>
  <c r="G111" i="2" s="1"/>
  <c r="G112" i="2" a="1"/>
  <c r="G112" i="2" s="1"/>
  <c r="G113" i="2" a="1"/>
  <c r="G113" i="2" s="1"/>
  <c r="G114" i="2" a="1"/>
  <c r="G114" i="2" s="1"/>
  <c r="G115" i="2" a="1"/>
  <c r="G115" i="2" s="1"/>
  <c r="G116" i="2" a="1"/>
  <c r="G116" i="2" s="1"/>
  <c r="G117" i="2" a="1"/>
  <c r="G117" i="2" s="1"/>
  <c r="G118" i="2" a="1"/>
  <c r="G118" i="2" s="1"/>
  <c r="G119" i="2" a="1"/>
  <c r="G119" i="2" s="1"/>
  <c r="G120" i="2" a="1"/>
  <c r="G120" i="2" s="1"/>
  <c r="G121" i="2" a="1"/>
  <c r="G121" i="2" s="1"/>
  <c r="G122" i="2" a="1"/>
  <c r="G122" i="2" s="1"/>
  <c r="G123" i="2" a="1"/>
  <c r="G123" i="2" s="1"/>
  <c r="G124" i="2" a="1"/>
  <c r="G124" i="2" s="1"/>
  <c r="G125" i="2" a="1"/>
  <c r="G125" i="2" s="1"/>
  <c r="G126" i="2" a="1"/>
  <c r="G126" i="2" s="1"/>
  <c r="G127" i="2" a="1"/>
  <c r="G127" i="2" s="1"/>
  <c r="G128" i="2" a="1"/>
  <c r="G128" i="2" s="1"/>
  <c r="G129" i="2" a="1"/>
  <c r="G129" i="2" s="1"/>
  <c r="G130" i="2" a="1"/>
  <c r="G130" i="2" s="1"/>
  <c r="G131" i="2" a="1"/>
  <c r="G131" i="2" s="1"/>
  <c r="G132" i="2" a="1"/>
  <c r="G132" i="2" s="1"/>
  <c r="G133" i="2" a="1"/>
  <c r="G133" i="2" s="1"/>
  <c r="G134" i="2" a="1"/>
  <c r="G134" i="2" s="1"/>
  <c r="G135" i="2" a="1"/>
  <c r="G135" i="2" s="1"/>
  <c r="G136" i="2" a="1"/>
  <c r="G136" i="2" s="1"/>
  <c r="G137" i="2" a="1"/>
  <c r="G137" i="2" s="1"/>
  <c r="G138" i="2" a="1"/>
  <c r="G138" i="2" s="1"/>
  <c r="G139" i="2" a="1"/>
  <c r="G139" i="2" s="1"/>
  <c r="G140" i="2" a="1"/>
  <c r="G140" i="2" s="1"/>
  <c r="G141" i="2" a="1"/>
  <c r="G141" i="2" s="1"/>
  <c r="G142" i="2" a="1"/>
  <c r="G142" i="2" s="1"/>
  <c r="G143" i="2" a="1"/>
  <c r="G143" i="2" s="1"/>
  <c r="G144" i="2" a="1"/>
  <c r="G144" i="2" s="1"/>
  <c r="G145" i="2" a="1"/>
  <c r="G145" i="2"/>
  <c r="G146" i="2" a="1"/>
  <c r="G146" i="2" s="1"/>
  <c r="G147" i="2" a="1"/>
  <c r="G147" i="2" s="1"/>
  <c r="G148" i="2" a="1"/>
  <c r="G148" i="2" s="1"/>
  <c r="G149" i="2" a="1"/>
  <c r="G149" i="2" s="1"/>
  <c r="G150" i="2" a="1"/>
  <c r="G150" i="2" s="1"/>
  <c r="G151" i="2" a="1"/>
  <c r="G151" i="2" s="1"/>
  <c r="G152" i="2" a="1"/>
  <c r="G152" i="2" s="1"/>
  <c r="G153" i="2" a="1"/>
  <c r="G153" i="2" s="1"/>
  <c r="G154" i="2" a="1"/>
  <c r="G154" i="2" s="1"/>
  <c r="G155" i="2" a="1"/>
  <c r="G155" i="2" s="1"/>
  <c r="G156" i="2" a="1"/>
  <c r="G156" i="2" s="1"/>
  <c r="G157" i="2" a="1"/>
  <c r="G157" i="2" s="1"/>
  <c r="G158" i="2" a="1"/>
  <c r="G158" i="2" s="1"/>
  <c r="G159" i="2" a="1"/>
  <c r="G159" i="2" s="1"/>
  <c r="G160" i="2" a="1"/>
  <c r="G160" i="2" s="1"/>
  <c r="G161" i="2" a="1"/>
  <c r="G161" i="2" s="1"/>
  <c r="G162" i="2" a="1"/>
  <c r="G162" i="2" s="1"/>
  <c r="G163" i="2" a="1"/>
  <c r="G163" i="2" s="1"/>
  <c r="G164" i="2" a="1"/>
  <c r="G164" i="2" s="1"/>
  <c r="G165" i="2" a="1"/>
  <c r="G165" i="2" s="1"/>
  <c r="G166" i="2" a="1"/>
  <c r="G166" i="2" s="1"/>
  <c r="G167" i="2" a="1"/>
  <c r="G167" i="2" s="1"/>
  <c r="G168" i="2" a="1"/>
  <c r="G168" i="2" s="1"/>
  <c r="G169" i="2" a="1"/>
  <c r="G169" i="2" s="1"/>
  <c r="G170" i="2" a="1"/>
  <c r="G170" i="2" s="1"/>
  <c r="G171" i="2" a="1"/>
  <c r="G171" i="2" s="1"/>
  <c r="G172" i="2" a="1"/>
  <c r="G172" i="2" s="1"/>
  <c r="G173" i="2" a="1"/>
  <c r="G173" i="2" s="1"/>
  <c r="G174" i="2" a="1"/>
  <c r="G174" i="2" s="1"/>
  <c r="G175" i="2" a="1"/>
  <c r="G175" i="2" s="1"/>
  <c r="G176" i="2" a="1"/>
  <c r="G176" i="2" s="1"/>
  <c r="G177" i="2" a="1"/>
  <c r="G177" i="2" s="1"/>
  <c r="G178" i="2" a="1"/>
  <c r="G178" i="2" s="1"/>
  <c r="G179" i="2" a="1"/>
  <c r="G179" i="2" s="1"/>
  <c r="G180" i="2" a="1"/>
  <c r="G180" i="2" s="1"/>
  <c r="G181" i="2" a="1"/>
  <c r="G181" i="2" s="1"/>
  <c r="G182" i="2" a="1"/>
  <c r="G182" i="2" s="1"/>
  <c r="G183" i="2" a="1"/>
  <c r="G183" i="2" s="1"/>
  <c r="G184" i="2" a="1"/>
  <c r="G184" i="2" s="1"/>
  <c r="G185" i="2" a="1"/>
  <c r="G185" i="2" s="1"/>
  <c r="G186" i="2" a="1"/>
  <c r="G186" i="2" s="1"/>
  <c r="G187" i="2" a="1"/>
  <c r="G187" i="2" s="1"/>
  <c r="G188" i="2" a="1"/>
  <c r="G188" i="2" s="1"/>
  <c r="G189" i="2" a="1"/>
  <c r="G189" i="2" s="1"/>
  <c r="G190" i="2" a="1"/>
  <c r="G190" i="2" s="1"/>
  <c r="G191" i="2" a="1"/>
  <c r="G191" i="2" s="1"/>
  <c r="G192" i="2" a="1"/>
  <c r="G192" i="2" s="1"/>
  <c r="G193" i="2" a="1"/>
  <c r="G193" i="2" s="1"/>
  <c r="G194" i="2" a="1"/>
  <c r="G194" i="2" s="1"/>
  <c r="G195" i="2" a="1"/>
  <c r="G195" i="2" s="1"/>
  <c r="G196" i="2" a="1"/>
  <c r="G196" i="2" s="1"/>
  <c r="G197" i="2" a="1"/>
  <c r="G197" i="2" s="1"/>
  <c r="G198" i="2" a="1"/>
  <c r="G198" i="2" s="1"/>
  <c r="G199" i="2" a="1"/>
  <c r="G199" i="2" s="1"/>
  <c r="G200" i="2" a="1"/>
  <c r="G200" i="2" s="1"/>
  <c r="G2" i="2" a="1"/>
  <c r="G2" i="2" s="1"/>
  <c r="B3" i="2"/>
  <c r="E3" i="2" s="1" a="1"/>
  <c r="E3" i="2" s="1"/>
  <c r="B4" i="2"/>
  <c r="E4" i="2" s="1" a="1"/>
  <c r="E4" i="2" s="1"/>
  <c r="B5" i="2"/>
  <c r="E5" i="2" s="1" a="1"/>
  <c r="E5" i="2" s="1"/>
  <c r="B6" i="2"/>
  <c r="E6" i="2" s="1" a="1"/>
  <c r="E6" i="2" s="1"/>
  <c r="B7" i="2"/>
  <c r="E7" i="2" s="1" a="1"/>
  <c r="E7" i="2" s="1"/>
  <c r="B8" i="2"/>
  <c r="E8" i="2" s="1" a="1"/>
  <c r="E8" i="2" s="1"/>
  <c r="B9" i="2"/>
  <c r="E9" i="2" s="1" a="1"/>
  <c r="E9" i="2" s="1"/>
  <c r="B10" i="2"/>
  <c r="E10" i="2" s="1" a="1"/>
  <c r="E10" i="2" s="1"/>
  <c r="B11" i="2"/>
  <c r="E11" i="2" s="1" a="1"/>
  <c r="E11" i="2" s="1"/>
  <c r="B12" i="2"/>
  <c r="E12" i="2" s="1" a="1"/>
  <c r="E12" i="2" s="1"/>
  <c r="B13" i="2"/>
  <c r="E13" i="2" s="1" a="1"/>
  <c r="E13" i="2" s="1"/>
  <c r="B14" i="2"/>
  <c r="E14" i="2" s="1" a="1"/>
  <c r="E14" i="2" s="1"/>
  <c r="B15" i="2"/>
  <c r="E15" i="2" s="1" a="1"/>
  <c r="E15" i="2" s="1"/>
  <c r="B16" i="2"/>
  <c r="E16" i="2" s="1" a="1"/>
  <c r="E16" i="2" s="1"/>
  <c r="B17" i="2"/>
  <c r="E17" i="2" s="1" a="1"/>
  <c r="E17" i="2" s="1"/>
  <c r="B18" i="2"/>
  <c r="E18" i="2" s="1" a="1"/>
  <c r="E18" i="2" s="1"/>
  <c r="B19" i="2"/>
  <c r="E19" i="2" s="1" a="1"/>
  <c r="E19" i="2" s="1"/>
  <c r="B20" i="2"/>
  <c r="E20" i="2" s="1" a="1"/>
  <c r="E20" i="2" s="1"/>
  <c r="B21" i="2"/>
  <c r="E21" i="2" s="1" a="1"/>
  <c r="E21" i="2" s="1"/>
  <c r="B22" i="2"/>
  <c r="E22" i="2" s="1" a="1"/>
  <c r="E22" i="2" s="1"/>
  <c r="B23" i="2"/>
  <c r="E23" i="2" s="1" a="1"/>
  <c r="E23" i="2" s="1"/>
  <c r="B24" i="2"/>
  <c r="E24" i="2" s="1" a="1"/>
  <c r="E24" i="2" s="1"/>
  <c r="B25" i="2"/>
  <c r="E25" i="2" s="1" a="1"/>
  <c r="E25" i="2" s="1"/>
  <c r="B26" i="2"/>
  <c r="E26" i="2" s="1" a="1"/>
  <c r="E26" i="2" s="1"/>
  <c r="B27" i="2"/>
  <c r="E27" i="2" s="1" a="1"/>
  <c r="E27" i="2" s="1"/>
  <c r="B28" i="2"/>
  <c r="E28" i="2" s="1" a="1"/>
  <c r="E28" i="2" s="1"/>
  <c r="B29" i="2"/>
  <c r="E29" i="2" s="1" a="1"/>
  <c r="E29" i="2" s="1"/>
  <c r="B30" i="2"/>
  <c r="E30" i="2" s="1" a="1"/>
  <c r="E30" i="2" s="1"/>
  <c r="B31" i="2"/>
  <c r="E31" i="2" s="1" a="1"/>
  <c r="E31" i="2" s="1"/>
  <c r="B32" i="2"/>
  <c r="E32" i="2" s="1" a="1"/>
  <c r="E32" i="2" s="1"/>
  <c r="B33" i="2"/>
  <c r="E33" i="2" s="1" a="1"/>
  <c r="E33" i="2" s="1"/>
  <c r="B34" i="2"/>
  <c r="E34" i="2" s="1" a="1"/>
  <c r="E34" i="2" s="1"/>
  <c r="B35" i="2"/>
  <c r="E35" i="2" s="1" a="1"/>
  <c r="E35" i="2" s="1"/>
  <c r="B36" i="2"/>
  <c r="E36" i="2" s="1" a="1"/>
  <c r="E36" i="2" s="1"/>
  <c r="B37" i="2"/>
  <c r="E37" i="2" s="1" a="1"/>
  <c r="E37" i="2" s="1"/>
  <c r="B38" i="2"/>
  <c r="E38" i="2" s="1" a="1"/>
  <c r="E38" i="2" s="1"/>
  <c r="B39" i="2"/>
  <c r="E39" i="2" s="1" a="1"/>
  <c r="E39" i="2" s="1"/>
  <c r="B40" i="2"/>
  <c r="E40" i="2" s="1" a="1"/>
  <c r="E40" i="2" s="1"/>
  <c r="B41" i="2"/>
  <c r="E41" i="2" s="1" a="1"/>
  <c r="E41" i="2" s="1"/>
  <c r="B42" i="2"/>
  <c r="E42" i="2" s="1" a="1"/>
  <c r="E42" i="2" s="1"/>
  <c r="B43" i="2"/>
  <c r="E43" i="2" s="1" a="1"/>
  <c r="E43" i="2" s="1"/>
  <c r="B44" i="2"/>
  <c r="E44" i="2" s="1" a="1"/>
  <c r="E44" i="2" s="1"/>
  <c r="B45" i="2"/>
  <c r="E45" i="2" s="1" a="1"/>
  <c r="E45" i="2" s="1"/>
  <c r="B46" i="2"/>
  <c r="E46" i="2" s="1" a="1"/>
  <c r="E46" i="2" s="1"/>
  <c r="B47" i="2"/>
  <c r="E47" i="2" s="1" a="1"/>
  <c r="E47" i="2" s="1"/>
  <c r="B48" i="2"/>
  <c r="E48" i="2" s="1" a="1"/>
  <c r="E48" i="2" s="1"/>
  <c r="B49" i="2"/>
  <c r="E49" i="2" s="1" a="1"/>
  <c r="E49" i="2" s="1"/>
  <c r="B50" i="2"/>
  <c r="E50" i="2" s="1" a="1"/>
  <c r="E50" i="2" s="1"/>
  <c r="B51" i="2"/>
  <c r="E51" i="2" s="1" a="1"/>
  <c r="E51" i="2" s="1"/>
  <c r="B52" i="2"/>
  <c r="E52" i="2" s="1" a="1"/>
  <c r="E52" i="2" s="1"/>
  <c r="B53" i="2"/>
  <c r="E53" i="2" s="1" a="1"/>
  <c r="E53" i="2" s="1"/>
  <c r="B54" i="2"/>
  <c r="E54" i="2" s="1" a="1"/>
  <c r="E54" i="2" s="1"/>
  <c r="B55" i="2"/>
  <c r="E55" i="2" s="1" a="1"/>
  <c r="E55" i="2" s="1"/>
  <c r="B56" i="2"/>
  <c r="E56" i="2" s="1" a="1"/>
  <c r="E56" i="2" s="1"/>
  <c r="B57" i="2"/>
  <c r="E57" i="2" s="1" a="1"/>
  <c r="E57" i="2" s="1"/>
  <c r="B58" i="2"/>
  <c r="E58" i="2" s="1" a="1"/>
  <c r="E58" i="2" s="1"/>
  <c r="B59" i="2"/>
  <c r="E59" i="2" s="1" a="1"/>
  <c r="E59" i="2" s="1"/>
  <c r="B60" i="2"/>
  <c r="E60" i="2" s="1" a="1"/>
  <c r="E60" i="2" s="1"/>
  <c r="B61" i="2"/>
  <c r="E61" i="2" s="1" a="1"/>
  <c r="E61" i="2" s="1"/>
  <c r="B62" i="2"/>
  <c r="E62" i="2" s="1" a="1"/>
  <c r="E62" i="2" s="1"/>
  <c r="B63" i="2"/>
  <c r="E63" i="2" s="1" a="1"/>
  <c r="E63" i="2" s="1"/>
  <c r="B64" i="2"/>
  <c r="E64" i="2" s="1" a="1"/>
  <c r="E64" i="2" s="1"/>
  <c r="B65" i="2"/>
  <c r="E65" i="2" s="1" a="1"/>
  <c r="E65" i="2" s="1"/>
  <c r="B66" i="2"/>
  <c r="E66" i="2" s="1" a="1"/>
  <c r="E66" i="2" s="1"/>
  <c r="B67" i="2"/>
  <c r="E67" i="2" s="1" a="1"/>
  <c r="E67" i="2" s="1"/>
  <c r="B68" i="2"/>
  <c r="E68" i="2" s="1" a="1"/>
  <c r="E68" i="2" s="1"/>
  <c r="B69" i="2"/>
  <c r="E69" i="2" s="1" a="1"/>
  <c r="E69" i="2" s="1"/>
  <c r="B70" i="2"/>
  <c r="E70" i="2" s="1" a="1"/>
  <c r="E70" i="2" s="1"/>
  <c r="B71" i="2"/>
  <c r="E71" i="2" s="1" a="1"/>
  <c r="E71" i="2" s="1"/>
  <c r="B72" i="2"/>
  <c r="E72" i="2" s="1" a="1"/>
  <c r="E72" i="2" s="1"/>
  <c r="B73" i="2"/>
  <c r="E73" i="2" s="1" a="1"/>
  <c r="E73" i="2" s="1"/>
  <c r="B74" i="2"/>
  <c r="E74" i="2" s="1" a="1"/>
  <c r="E74" i="2" s="1"/>
  <c r="B75" i="2"/>
  <c r="E75" i="2" s="1" a="1"/>
  <c r="E75" i="2" s="1"/>
  <c r="B76" i="2"/>
  <c r="E76" i="2" s="1" a="1"/>
  <c r="E76" i="2" s="1"/>
  <c r="B77" i="2"/>
  <c r="E77" i="2" s="1" a="1"/>
  <c r="E77" i="2" s="1"/>
  <c r="B78" i="2"/>
  <c r="E78" i="2" s="1" a="1"/>
  <c r="E78" i="2" s="1"/>
  <c r="B79" i="2"/>
  <c r="E79" i="2" s="1" a="1"/>
  <c r="E79" i="2" s="1"/>
  <c r="B80" i="2"/>
  <c r="E80" i="2" s="1" a="1"/>
  <c r="E80" i="2" s="1"/>
  <c r="B81" i="2"/>
  <c r="E81" i="2" s="1" a="1"/>
  <c r="E81" i="2" s="1"/>
  <c r="B82" i="2"/>
  <c r="E82" i="2" s="1" a="1"/>
  <c r="E82" i="2" s="1"/>
  <c r="B83" i="2"/>
  <c r="E83" i="2" s="1" a="1"/>
  <c r="E83" i="2" s="1"/>
  <c r="B84" i="2"/>
  <c r="E84" i="2" s="1" a="1"/>
  <c r="E84" i="2" s="1"/>
  <c r="B85" i="2"/>
  <c r="E85" i="2" s="1" a="1"/>
  <c r="E85" i="2" s="1"/>
  <c r="B86" i="2"/>
  <c r="E86" i="2" s="1" a="1"/>
  <c r="E86" i="2" s="1"/>
  <c r="B87" i="2"/>
  <c r="E87" i="2" s="1" a="1"/>
  <c r="E87" i="2" s="1"/>
  <c r="B88" i="2"/>
  <c r="E88" i="2" s="1" a="1"/>
  <c r="E88" i="2" s="1"/>
  <c r="B89" i="2"/>
  <c r="E89" i="2" s="1" a="1"/>
  <c r="E89" i="2" s="1"/>
  <c r="B90" i="2"/>
  <c r="E90" i="2" s="1" a="1"/>
  <c r="E90" i="2" s="1"/>
  <c r="B91" i="2"/>
  <c r="E91" i="2" s="1" a="1"/>
  <c r="E91" i="2" s="1"/>
  <c r="B92" i="2"/>
  <c r="E92" i="2" s="1" a="1"/>
  <c r="E92" i="2" s="1"/>
  <c r="B93" i="2"/>
  <c r="E93" i="2" s="1" a="1"/>
  <c r="E93" i="2" s="1"/>
  <c r="B94" i="2"/>
  <c r="E94" i="2" s="1" a="1"/>
  <c r="E94" i="2" s="1"/>
  <c r="B95" i="2"/>
  <c r="E95" i="2" s="1" a="1"/>
  <c r="E95" i="2" s="1"/>
  <c r="B96" i="2"/>
  <c r="E96" i="2" s="1" a="1"/>
  <c r="E96" i="2" s="1"/>
  <c r="B97" i="2"/>
  <c r="E97" i="2" s="1" a="1"/>
  <c r="E97" i="2" s="1"/>
  <c r="B98" i="2"/>
  <c r="E98" i="2" s="1" a="1"/>
  <c r="E98" i="2" s="1"/>
  <c r="B99" i="2"/>
  <c r="E99" i="2" s="1" a="1"/>
  <c r="E99" i="2" s="1"/>
  <c r="B100" i="2"/>
  <c r="E100" i="2" s="1" a="1"/>
  <c r="E100" i="2" s="1"/>
  <c r="B101" i="2"/>
  <c r="E101" i="2" s="1" a="1"/>
  <c r="E101" i="2" s="1"/>
  <c r="B102" i="2"/>
  <c r="E102" i="2" s="1" a="1"/>
  <c r="E102" i="2" s="1"/>
  <c r="B103" i="2"/>
  <c r="E103" i="2" s="1" a="1"/>
  <c r="E103" i="2" s="1"/>
  <c r="B104" i="2"/>
  <c r="E104" i="2" s="1" a="1"/>
  <c r="E104" i="2" s="1"/>
  <c r="B105" i="2"/>
  <c r="E105" i="2" s="1" a="1"/>
  <c r="E105" i="2" s="1"/>
  <c r="B106" i="2"/>
  <c r="E106" i="2" s="1" a="1"/>
  <c r="E106" i="2" s="1"/>
  <c r="B107" i="2"/>
  <c r="E107" i="2" s="1" a="1"/>
  <c r="E107" i="2" s="1"/>
  <c r="B108" i="2"/>
  <c r="E108" i="2" s="1" a="1"/>
  <c r="E108" i="2" s="1"/>
  <c r="B109" i="2"/>
  <c r="E109" i="2" s="1" a="1"/>
  <c r="E109" i="2" s="1"/>
  <c r="B110" i="2"/>
  <c r="E110" i="2" s="1" a="1"/>
  <c r="E110" i="2" s="1"/>
  <c r="B111" i="2"/>
  <c r="E111" i="2" s="1" a="1"/>
  <c r="E111" i="2" s="1"/>
  <c r="B112" i="2"/>
  <c r="E112" i="2" s="1" a="1"/>
  <c r="E112" i="2" s="1"/>
  <c r="B113" i="2"/>
  <c r="E113" i="2" s="1" a="1"/>
  <c r="E113" i="2" s="1"/>
  <c r="B114" i="2"/>
  <c r="E114" i="2" s="1" a="1"/>
  <c r="E114" i="2" s="1"/>
  <c r="B115" i="2"/>
  <c r="E115" i="2" s="1" a="1"/>
  <c r="E115" i="2" s="1"/>
  <c r="B116" i="2"/>
  <c r="E116" i="2" s="1" a="1"/>
  <c r="E116" i="2" s="1"/>
  <c r="B117" i="2"/>
  <c r="E117" i="2" s="1" a="1"/>
  <c r="E117" i="2" s="1"/>
  <c r="B118" i="2"/>
  <c r="E118" i="2" s="1" a="1"/>
  <c r="E118" i="2" s="1"/>
  <c r="B119" i="2"/>
  <c r="E119" i="2" s="1" a="1"/>
  <c r="E119" i="2" s="1"/>
  <c r="B120" i="2"/>
  <c r="E120" i="2" s="1" a="1"/>
  <c r="E120" i="2" s="1"/>
  <c r="B121" i="2"/>
  <c r="E121" i="2" s="1" a="1"/>
  <c r="E121" i="2" s="1"/>
  <c r="B122" i="2"/>
  <c r="E122" i="2" s="1" a="1"/>
  <c r="E122" i="2" s="1"/>
  <c r="B123" i="2"/>
  <c r="E123" i="2" s="1" a="1"/>
  <c r="E123" i="2" s="1"/>
  <c r="B124" i="2"/>
  <c r="E124" i="2" s="1" a="1"/>
  <c r="E124" i="2" s="1"/>
  <c r="B125" i="2"/>
  <c r="E125" i="2" s="1" a="1"/>
  <c r="E125" i="2" s="1"/>
  <c r="B126" i="2"/>
  <c r="E126" i="2" s="1" a="1"/>
  <c r="E126" i="2" s="1"/>
  <c r="B127" i="2"/>
  <c r="E127" i="2" s="1" a="1"/>
  <c r="E127" i="2" s="1"/>
  <c r="B128" i="2"/>
  <c r="E128" i="2" s="1" a="1"/>
  <c r="E128" i="2" s="1"/>
  <c r="B129" i="2"/>
  <c r="E129" i="2" s="1" a="1"/>
  <c r="E129" i="2" s="1"/>
  <c r="B130" i="2"/>
  <c r="E130" i="2" s="1" a="1"/>
  <c r="E130" i="2" s="1"/>
  <c r="B131" i="2"/>
  <c r="E131" i="2" s="1" a="1"/>
  <c r="E131" i="2" s="1"/>
  <c r="B132" i="2"/>
  <c r="E132" i="2" s="1" a="1"/>
  <c r="E132" i="2" s="1"/>
  <c r="B133" i="2"/>
  <c r="E133" i="2" s="1" a="1"/>
  <c r="E133" i="2" s="1"/>
  <c r="B134" i="2"/>
  <c r="E134" i="2" s="1" a="1"/>
  <c r="E134" i="2" s="1"/>
  <c r="B135" i="2"/>
  <c r="E135" i="2" s="1" a="1"/>
  <c r="E135" i="2" s="1"/>
  <c r="B136" i="2"/>
  <c r="E136" i="2" s="1" a="1"/>
  <c r="E136" i="2" s="1"/>
  <c r="B137" i="2"/>
  <c r="E137" i="2" s="1" a="1"/>
  <c r="E137" i="2" s="1"/>
  <c r="B138" i="2"/>
  <c r="E138" i="2" s="1" a="1"/>
  <c r="E138" i="2" s="1"/>
  <c r="B139" i="2"/>
  <c r="E139" i="2" s="1" a="1"/>
  <c r="E139" i="2" s="1"/>
  <c r="B140" i="2"/>
  <c r="E140" i="2" s="1" a="1"/>
  <c r="E140" i="2" s="1"/>
  <c r="B141" i="2"/>
  <c r="E141" i="2" s="1" a="1"/>
  <c r="E141" i="2" s="1"/>
  <c r="B142" i="2"/>
  <c r="E142" i="2" s="1" a="1"/>
  <c r="E142" i="2" s="1"/>
  <c r="B143" i="2"/>
  <c r="E143" i="2" s="1" a="1"/>
  <c r="E143" i="2" s="1"/>
  <c r="B144" i="2"/>
  <c r="E144" i="2" s="1" a="1"/>
  <c r="E144" i="2" s="1"/>
  <c r="B145" i="2"/>
  <c r="E145" i="2" s="1" a="1"/>
  <c r="E145" i="2" s="1"/>
  <c r="B146" i="2"/>
  <c r="E146" i="2" s="1" a="1"/>
  <c r="E146" i="2" s="1"/>
  <c r="B147" i="2"/>
  <c r="E147" i="2" s="1" a="1"/>
  <c r="E147" i="2" s="1"/>
  <c r="B148" i="2"/>
  <c r="E148" i="2" s="1" a="1"/>
  <c r="E148" i="2" s="1"/>
  <c r="B149" i="2"/>
  <c r="E149" i="2" s="1" a="1"/>
  <c r="E149" i="2" s="1"/>
  <c r="B150" i="2"/>
  <c r="E150" i="2" s="1" a="1"/>
  <c r="E150" i="2" s="1"/>
  <c r="B151" i="2"/>
  <c r="E151" i="2" s="1" a="1"/>
  <c r="E151" i="2" s="1"/>
  <c r="B152" i="2"/>
  <c r="E152" i="2" s="1" a="1"/>
  <c r="E152" i="2" s="1"/>
  <c r="B153" i="2"/>
  <c r="E153" i="2" s="1" a="1"/>
  <c r="E153" i="2" s="1"/>
  <c r="B154" i="2"/>
  <c r="E154" i="2" s="1" a="1"/>
  <c r="E154" i="2" s="1"/>
  <c r="B155" i="2"/>
  <c r="E155" i="2" s="1" a="1"/>
  <c r="E155" i="2" s="1"/>
  <c r="B156" i="2"/>
  <c r="E156" i="2" s="1" a="1"/>
  <c r="E156" i="2" s="1"/>
  <c r="B157" i="2"/>
  <c r="E157" i="2" s="1" a="1"/>
  <c r="E157" i="2" s="1"/>
  <c r="B158" i="2"/>
  <c r="E158" i="2" s="1" a="1"/>
  <c r="E158" i="2" s="1"/>
  <c r="B159" i="2"/>
  <c r="E159" i="2" s="1" a="1"/>
  <c r="E159" i="2" s="1"/>
  <c r="B160" i="2"/>
  <c r="E160" i="2" s="1" a="1"/>
  <c r="E160" i="2" s="1"/>
  <c r="B161" i="2"/>
  <c r="E161" i="2" s="1" a="1"/>
  <c r="E161" i="2" s="1"/>
  <c r="B162" i="2"/>
  <c r="E162" i="2" s="1" a="1"/>
  <c r="E162" i="2" s="1"/>
  <c r="B163" i="2"/>
  <c r="E163" i="2" s="1" a="1"/>
  <c r="E163" i="2" s="1"/>
  <c r="B164" i="2"/>
  <c r="E164" i="2" s="1" a="1"/>
  <c r="E164" i="2" s="1"/>
  <c r="B165" i="2"/>
  <c r="E165" i="2" s="1" a="1"/>
  <c r="E165" i="2" s="1"/>
  <c r="B166" i="2"/>
  <c r="E166" i="2" s="1" a="1"/>
  <c r="E166" i="2" s="1"/>
  <c r="B167" i="2"/>
  <c r="E167" i="2" s="1" a="1"/>
  <c r="E167" i="2" s="1"/>
  <c r="B168" i="2"/>
  <c r="E168" i="2" s="1" a="1"/>
  <c r="E168" i="2" s="1"/>
  <c r="B169" i="2"/>
  <c r="E169" i="2" s="1" a="1"/>
  <c r="E169" i="2" s="1"/>
  <c r="B170" i="2"/>
  <c r="E170" i="2" s="1" a="1"/>
  <c r="E170" i="2" s="1"/>
  <c r="B171" i="2"/>
  <c r="E171" i="2" s="1" a="1"/>
  <c r="E171" i="2" s="1"/>
  <c r="B172" i="2"/>
  <c r="E172" i="2" s="1" a="1"/>
  <c r="E172" i="2" s="1"/>
  <c r="B173" i="2"/>
  <c r="E173" i="2" s="1" a="1"/>
  <c r="E173" i="2" s="1"/>
  <c r="B174" i="2"/>
  <c r="E174" i="2" s="1" a="1"/>
  <c r="E174" i="2" s="1"/>
  <c r="B175" i="2"/>
  <c r="E175" i="2" s="1" a="1"/>
  <c r="E175" i="2" s="1"/>
  <c r="B176" i="2"/>
  <c r="E176" i="2" s="1" a="1"/>
  <c r="E176" i="2" s="1"/>
  <c r="B177" i="2"/>
  <c r="E177" i="2" s="1" a="1"/>
  <c r="E177" i="2" s="1"/>
  <c r="B178" i="2"/>
  <c r="E178" i="2" s="1" a="1"/>
  <c r="E178" i="2" s="1"/>
  <c r="B179" i="2"/>
  <c r="E179" i="2" s="1" a="1"/>
  <c r="E179" i="2" s="1"/>
  <c r="B180" i="2"/>
  <c r="E180" i="2" s="1" a="1"/>
  <c r="E180" i="2" s="1"/>
  <c r="B181" i="2"/>
  <c r="E181" i="2" s="1" a="1"/>
  <c r="E181" i="2" s="1"/>
  <c r="B182" i="2"/>
  <c r="E182" i="2" s="1" a="1"/>
  <c r="E182" i="2" s="1"/>
  <c r="B183" i="2"/>
  <c r="E183" i="2" s="1" a="1"/>
  <c r="E183" i="2" s="1"/>
  <c r="B184" i="2"/>
  <c r="E184" i="2" s="1" a="1"/>
  <c r="E184" i="2" s="1"/>
  <c r="B185" i="2"/>
  <c r="E185" i="2" s="1" a="1"/>
  <c r="E185" i="2" s="1"/>
  <c r="B186" i="2"/>
  <c r="E186" i="2" s="1" a="1"/>
  <c r="E186" i="2" s="1"/>
  <c r="B187" i="2"/>
  <c r="E187" i="2" s="1" a="1"/>
  <c r="E187" i="2" s="1"/>
  <c r="B188" i="2"/>
  <c r="E188" i="2" s="1" a="1"/>
  <c r="E188" i="2" s="1"/>
  <c r="B189" i="2"/>
  <c r="E189" i="2" s="1" a="1"/>
  <c r="E189" i="2" s="1"/>
  <c r="B190" i="2"/>
  <c r="E190" i="2" s="1" a="1"/>
  <c r="E190" i="2" s="1"/>
  <c r="B191" i="2"/>
  <c r="E191" i="2" s="1" a="1"/>
  <c r="E191" i="2" s="1"/>
  <c r="B192" i="2"/>
  <c r="E192" i="2" s="1" a="1"/>
  <c r="E192" i="2" s="1"/>
  <c r="B193" i="2"/>
  <c r="E193" i="2" s="1" a="1"/>
  <c r="E193" i="2" s="1"/>
  <c r="B194" i="2"/>
  <c r="E194" i="2" s="1" a="1"/>
  <c r="E194" i="2" s="1"/>
  <c r="B195" i="2"/>
  <c r="E195" i="2" s="1" a="1"/>
  <c r="E195" i="2" s="1"/>
  <c r="B196" i="2"/>
  <c r="E196" i="2" s="1" a="1"/>
  <c r="E196" i="2" s="1"/>
  <c r="B197" i="2"/>
  <c r="E197" i="2" s="1" a="1"/>
  <c r="E197" i="2" s="1"/>
  <c r="B198" i="2"/>
  <c r="E198" i="2" s="1" a="1"/>
  <c r="E198" i="2" s="1"/>
  <c r="B199" i="2"/>
  <c r="E199" i="2" s="1" a="1"/>
  <c r="E199" i="2" s="1"/>
  <c r="B200" i="2"/>
  <c r="E200" i="2" s="1" a="1"/>
  <c r="E200" i="2" s="1"/>
  <c r="B2" i="2"/>
  <c r="E2" i="2" s="1" a="1"/>
  <c r="E2" i="2" s="1"/>
  <c r="A2" i="2" a="1"/>
  <c r="A2" i="2" s="1"/>
  <c r="C2" i="2" l="1"/>
  <c r="F2" i="2" s="1" a="1"/>
  <c r="F2" i="2" s="1"/>
  <c r="H2" i="2" s="1"/>
  <c r="I2" i="2" s="1" a="1"/>
  <c r="I2" i="2" s="1"/>
  <c r="B11" i="3"/>
  <c r="C186" i="2"/>
  <c r="F186" i="2" s="1" a="1"/>
  <c r="F186" i="2" s="1"/>
  <c r="H186" i="2" s="1"/>
  <c r="I186" i="2" s="1" a="1"/>
  <c r="I186" i="2" s="1"/>
  <c r="C162" i="2"/>
  <c r="F162" i="2" s="1" a="1"/>
  <c r="F162" i="2" s="1"/>
  <c r="H162" i="2" s="1"/>
  <c r="I162" i="2" s="1" a="1"/>
  <c r="I162" i="2" s="1"/>
  <c r="C138" i="2"/>
  <c r="F138" i="2" s="1" a="1"/>
  <c r="F138" i="2" s="1"/>
  <c r="H138" i="2" s="1"/>
  <c r="I138" i="2" s="1" a="1"/>
  <c r="I138" i="2" s="1"/>
  <c r="C122" i="2"/>
  <c r="F122" i="2" s="1" a="1"/>
  <c r="F122" i="2" s="1"/>
  <c r="H122" i="2" s="1"/>
  <c r="I122" i="2" s="1" a="1"/>
  <c r="I122" i="2" s="1"/>
  <c r="C106" i="2"/>
  <c r="F106" i="2" s="1" a="1"/>
  <c r="F106" i="2" s="1"/>
  <c r="H106" i="2" s="1"/>
  <c r="I106" i="2" s="1" a="1"/>
  <c r="I106" i="2" s="1"/>
  <c r="C82" i="2"/>
  <c r="F82" i="2" s="1" a="1"/>
  <c r="F82" i="2" s="1"/>
  <c r="H82" i="2" s="1"/>
  <c r="I82" i="2" s="1" a="1"/>
  <c r="I82" i="2" s="1"/>
  <c r="C58" i="2"/>
  <c r="F58" i="2" s="1" a="1"/>
  <c r="F58" i="2" s="1"/>
  <c r="H58" i="2" s="1"/>
  <c r="I58" i="2" s="1" a="1"/>
  <c r="I58" i="2" s="1"/>
  <c r="C34" i="2"/>
  <c r="F34" i="2" s="1" a="1"/>
  <c r="F34" i="2" s="1"/>
  <c r="H34" i="2" s="1"/>
  <c r="I34" i="2" s="1" a="1"/>
  <c r="I34" i="2" s="1"/>
  <c r="C10" i="2"/>
  <c r="F10" i="2" s="1" a="1"/>
  <c r="F10" i="2" s="1"/>
  <c r="H10" i="2" s="1"/>
  <c r="I10" i="2" s="1" a="1"/>
  <c r="I10" i="2" s="1"/>
  <c r="C177" i="2"/>
  <c r="F177" i="2" s="1" a="1"/>
  <c r="F177" i="2" s="1"/>
  <c r="H177" i="2" s="1"/>
  <c r="I177" i="2" s="1" a="1"/>
  <c r="I177" i="2" s="1"/>
  <c r="C169" i="2"/>
  <c r="F169" i="2" s="1" a="1"/>
  <c r="F169" i="2" s="1"/>
  <c r="H169" i="2" s="1"/>
  <c r="I169" i="2" s="1" a="1"/>
  <c r="I169" i="2" s="1"/>
  <c r="C145" i="2"/>
  <c r="F145" i="2" s="1" a="1"/>
  <c r="F145" i="2" s="1"/>
  <c r="H145" i="2" s="1"/>
  <c r="I145" i="2" s="1" a="1"/>
  <c r="I145" i="2" s="1"/>
  <c r="C121" i="2"/>
  <c r="F121" i="2" s="1" a="1"/>
  <c r="F121" i="2" s="1"/>
  <c r="H121" i="2" s="1"/>
  <c r="I121" i="2" s="1" a="1"/>
  <c r="I121" i="2" s="1"/>
  <c r="C97" i="2"/>
  <c r="F97" i="2" s="1" a="1"/>
  <c r="F97" i="2" s="1"/>
  <c r="H97" i="2" s="1"/>
  <c r="I97" i="2" s="1" a="1"/>
  <c r="I97" i="2" s="1"/>
  <c r="C73" i="2"/>
  <c r="F73" i="2" s="1" a="1"/>
  <c r="F73" i="2" s="1"/>
  <c r="H73" i="2" s="1"/>
  <c r="I73" i="2" s="1" a="1"/>
  <c r="I73" i="2" s="1"/>
  <c r="C25" i="2"/>
  <c r="F25" i="2" s="1" a="1"/>
  <c r="F25" i="2" s="1"/>
  <c r="H25" i="2" s="1"/>
  <c r="I25" i="2" s="1" a="1"/>
  <c r="I25" i="2" s="1"/>
  <c r="C200" i="2"/>
  <c r="F200" i="2" s="1" a="1"/>
  <c r="F200" i="2" s="1"/>
  <c r="H200" i="2" s="1"/>
  <c r="I200" i="2" s="1" a="1"/>
  <c r="I200" i="2" s="1"/>
  <c r="C192" i="2"/>
  <c r="F192" i="2" s="1" a="1"/>
  <c r="F192" i="2" s="1"/>
  <c r="H192" i="2" s="1"/>
  <c r="I192" i="2" s="1" a="1"/>
  <c r="I192" i="2" s="1"/>
  <c r="C184" i="2"/>
  <c r="F184" i="2" s="1" a="1"/>
  <c r="F184" i="2" s="1"/>
  <c r="H184" i="2" s="1"/>
  <c r="I184" i="2" s="1" a="1"/>
  <c r="I184" i="2" s="1"/>
  <c r="C176" i="2"/>
  <c r="F176" i="2" s="1" a="1"/>
  <c r="F176" i="2" s="1"/>
  <c r="H176" i="2" s="1"/>
  <c r="I176" i="2" s="1" a="1"/>
  <c r="I176" i="2" s="1"/>
  <c r="C168" i="2"/>
  <c r="F168" i="2" s="1" a="1"/>
  <c r="F168" i="2" s="1"/>
  <c r="H168" i="2" s="1"/>
  <c r="I168" i="2" s="1" a="1"/>
  <c r="I168" i="2" s="1"/>
  <c r="C160" i="2"/>
  <c r="F160" i="2" s="1" a="1"/>
  <c r="F160" i="2" s="1"/>
  <c r="H160" i="2" s="1"/>
  <c r="I160" i="2" s="1" a="1"/>
  <c r="I160" i="2" s="1"/>
  <c r="C152" i="2"/>
  <c r="F152" i="2" s="1" a="1"/>
  <c r="F152" i="2" s="1"/>
  <c r="H152" i="2" s="1"/>
  <c r="I152" i="2" s="1" a="1"/>
  <c r="I152" i="2" s="1"/>
  <c r="C144" i="2"/>
  <c r="F144" i="2" s="1" a="1"/>
  <c r="F144" i="2" s="1"/>
  <c r="H144" i="2" s="1"/>
  <c r="I144" i="2" s="1" a="1"/>
  <c r="I144" i="2" s="1"/>
  <c r="C136" i="2"/>
  <c r="F136" i="2" s="1" a="1"/>
  <c r="F136" i="2" s="1"/>
  <c r="H136" i="2" s="1"/>
  <c r="I136" i="2" s="1" a="1"/>
  <c r="I136" i="2" s="1"/>
  <c r="C128" i="2"/>
  <c r="F128" i="2" s="1" a="1"/>
  <c r="F128" i="2" s="1"/>
  <c r="H128" i="2" s="1"/>
  <c r="I128" i="2" s="1" a="1"/>
  <c r="I128" i="2" s="1"/>
  <c r="C120" i="2"/>
  <c r="F120" i="2" s="1" a="1"/>
  <c r="F120" i="2" s="1"/>
  <c r="H120" i="2" s="1"/>
  <c r="I120" i="2" s="1" a="1"/>
  <c r="I120" i="2" s="1"/>
  <c r="C112" i="2"/>
  <c r="F112" i="2" s="1" a="1"/>
  <c r="F112" i="2" s="1"/>
  <c r="H112" i="2" s="1"/>
  <c r="I112" i="2" s="1" a="1"/>
  <c r="I112" i="2" s="1"/>
  <c r="C104" i="2"/>
  <c r="F104" i="2" s="1" a="1"/>
  <c r="F104" i="2" s="1"/>
  <c r="H104" i="2" s="1"/>
  <c r="I104" i="2" s="1" a="1"/>
  <c r="I104" i="2" s="1"/>
  <c r="C96" i="2"/>
  <c r="F96" i="2" s="1" a="1"/>
  <c r="F96" i="2" s="1"/>
  <c r="H96" i="2" s="1"/>
  <c r="I96" i="2" s="1" a="1"/>
  <c r="I96" i="2" s="1"/>
  <c r="C88" i="2"/>
  <c r="F88" i="2" s="1" a="1"/>
  <c r="F88" i="2" s="1"/>
  <c r="H88" i="2" s="1"/>
  <c r="I88" i="2" s="1" a="1"/>
  <c r="I88" i="2" s="1"/>
  <c r="C80" i="2"/>
  <c r="F80" i="2" s="1" a="1"/>
  <c r="F80" i="2" s="1"/>
  <c r="H80" i="2" s="1"/>
  <c r="I80" i="2" s="1" a="1"/>
  <c r="I80" i="2" s="1"/>
  <c r="C72" i="2"/>
  <c r="F72" i="2" s="1" a="1"/>
  <c r="F72" i="2" s="1"/>
  <c r="H72" i="2" s="1"/>
  <c r="I72" i="2" s="1" a="1"/>
  <c r="I72" i="2" s="1"/>
  <c r="C64" i="2"/>
  <c r="F64" i="2" s="1" a="1"/>
  <c r="F64" i="2" s="1"/>
  <c r="H64" i="2" s="1"/>
  <c r="I64" i="2" s="1" a="1"/>
  <c r="I64" i="2" s="1"/>
  <c r="C56" i="2"/>
  <c r="F56" i="2" s="1" a="1"/>
  <c r="F56" i="2" s="1"/>
  <c r="H56" i="2" s="1"/>
  <c r="I56" i="2" s="1" a="1"/>
  <c r="I56" i="2" s="1"/>
  <c r="C48" i="2"/>
  <c r="F48" i="2" s="1" a="1"/>
  <c r="F48" i="2" s="1"/>
  <c r="H48" i="2" s="1"/>
  <c r="I48" i="2" s="1" a="1"/>
  <c r="I48" i="2" s="1"/>
  <c r="C40" i="2"/>
  <c r="F40" i="2" s="1" a="1"/>
  <c r="F40" i="2" s="1"/>
  <c r="H40" i="2" s="1"/>
  <c r="I40" i="2" s="1" a="1"/>
  <c r="I40" i="2" s="1"/>
  <c r="C32" i="2"/>
  <c r="F32" i="2" s="1" a="1"/>
  <c r="F32" i="2" s="1"/>
  <c r="H32" i="2" s="1"/>
  <c r="I32" i="2" s="1" a="1"/>
  <c r="I32" i="2" s="1"/>
  <c r="C24" i="2"/>
  <c r="F24" i="2" s="1" a="1"/>
  <c r="F24" i="2" s="1"/>
  <c r="H24" i="2" s="1"/>
  <c r="I24" i="2" s="1" a="1"/>
  <c r="I24" i="2" s="1"/>
  <c r="C16" i="2"/>
  <c r="F16" i="2" s="1" a="1"/>
  <c r="F16" i="2" s="1"/>
  <c r="H16" i="2" s="1"/>
  <c r="I16" i="2" s="1" a="1"/>
  <c r="I16" i="2" s="1"/>
  <c r="C8" i="2"/>
  <c r="F8" i="2" s="1" a="1"/>
  <c r="F8" i="2" s="1"/>
  <c r="H8" i="2" s="1"/>
  <c r="I8" i="2" s="1" a="1"/>
  <c r="I8" i="2" s="1"/>
  <c r="C194" i="2"/>
  <c r="F194" i="2" s="1" a="1"/>
  <c r="F194" i="2" s="1"/>
  <c r="H194" i="2" s="1"/>
  <c r="I194" i="2" s="1" a="1"/>
  <c r="I194" i="2" s="1"/>
  <c r="C178" i="2"/>
  <c r="F178" i="2" s="1" a="1"/>
  <c r="F178" i="2" s="1"/>
  <c r="H178" i="2" s="1"/>
  <c r="I178" i="2" s="1" a="1"/>
  <c r="I178" i="2" s="1"/>
  <c r="C154" i="2"/>
  <c r="F154" i="2" s="1" a="1"/>
  <c r="F154" i="2" s="1"/>
  <c r="H154" i="2" s="1"/>
  <c r="I154" i="2" s="1" a="1"/>
  <c r="I154" i="2" s="1"/>
  <c r="C130" i="2"/>
  <c r="F130" i="2" s="1" a="1"/>
  <c r="F130" i="2" s="1"/>
  <c r="H130" i="2" s="1"/>
  <c r="I130" i="2" s="1" a="1"/>
  <c r="I130" i="2" s="1"/>
  <c r="C98" i="2"/>
  <c r="F98" i="2" s="1" a="1"/>
  <c r="F98" i="2" s="1"/>
  <c r="H98" i="2" s="1"/>
  <c r="I98" i="2" s="1" a="1"/>
  <c r="I98" i="2" s="1"/>
  <c r="C74" i="2"/>
  <c r="F74" i="2" s="1" a="1"/>
  <c r="F74" i="2" s="1"/>
  <c r="H74" i="2" s="1"/>
  <c r="I74" i="2" s="1" a="1"/>
  <c r="I74" i="2" s="1"/>
  <c r="C50" i="2"/>
  <c r="F50" i="2" s="1" a="1"/>
  <c r="F50" i="2" s="1"/>
  <c r="H50" i="2" s="1"/>
  <c r="I50" i="2" s="1" a="1"/>
  <c r="I50" i="2" s="1"/>
  <c r="C18" i="2"/>
  <c r="F18" i="2" s="1" a="1"/>
  <c r="F18" i="2" s="1"/>
  <c r="H18" i="2" s="1"/>
  <c r="I18" i="2" s="1" a="1"/>
  <c r="I18" i="2" s="1"/>
  <c r="C185" i="2"/>
  <c r="F185" i="2" s="1" a="1"/>
  <c r="F185" i="2" s="1"/>
  <c r="H185" i="2" s="1"/>
  <c r="I185" i="2" s="1" a="1"/>
  <c r="I185" i="2" s="1"/>
  <c r="C153" i="2"/>
  <c r="F153" i="2" s="1" a="1"/>
  <c r="F153" i="2" s="1"/>
  <c r="H153" i="2" s="1"/>
  <c r="I153" i="2" s="1" a="1"/>
  <c r="I153" i="2" s="1"/>
  <c r="C129" i="2"/>
  <c r="F129" i="2" s="1" a="1"/>
  <c r="F129" i="2" s="1"/>
  <c r="H129" i="2" s="1"/>
  <c r="I129" i="2" s="1" a="1"/>
  <c r="I129" i="2" s="1"/>
  <c r="C105" i="2"/>
  <c r="F105" i="2" s="1" a="1"/>
  <c r="F105" i="2" s="1"/>
  <c r="H105" i="2" s="1"/>
  <c r="I105" i="2" s="1" a="1"/>
  <c r="I105" i="2" s="1"/>
  <c r="C65" i="2"/>
  <c r="F65" i="2" s="1" a="1"/>
  <c r="F65" i="2" s="1"/>
  <c r="H65" i="2" s="1"/>
  <c r="I65" i="2" s="1" a="1"/>
  <c r="I65" i="2" s="1"/>
  <c r="C49" i="2"/>
  <c r="F49" i="2" s="1" a="1"/>
  <c r="F49" i="2" s="1"/>
  <c r="H49" i="2" s="1"/>
  <c r="I49" i="2" s="1" a="1"/>
  <c r="I49" i="2" s="1"/>
  <c r="C33" i="2"/>
  <c r="F33" i="2" s="1" a="1"/>
  <c r="F33" i="2" s="1"/>
  <c r="H33" i="2" s="1"/>
  <c r="I33" i="2" s="1" a="1"/>
  <c r="I33" i="2" s="1"/>
  <c r="C9" i="2"/>
  <c r="F9" i="2" s="1" a="1"/>
  <c r="F9" i="2" s="1"/>
  <c r="H9" i="2" s="1"/>
  <c r="I9" i="2" s="1" a="1"/>
  <c r="I9" i="2" s="1"/>
  <c r="C199" i="2"/>
  <c r="F199" i="2" s="1" a="1"/>
  <c r="F199" i="2" s="1"/>
  <c r="H199" i="2" s="1"/>
  <c r="I199" i="2" s="1" a="1"/>
  <c r="I199" i="2" s="1"/>
  <c r="C191" i="2"/>
  <c r="F191" i="2" s="1" a="1"/>
  <c r="F191" i="2" s="1"/>
  <c r="H191" i="2" s="1"/>
  <c r="I191" i="2" s="1" a="1"/>
  <c r="I191" i="2" s="1"/>
  <c r="C175" i="2"/>
  <c r="F175" i="2" s="1" a="1"/>
  <c r="F175" i="2" s="1"/>
  <c r="H175" i="2" s="1"/>
  <c r="I175" i="2" s="1" a="1"/>
  <c r="I175" i="2" s="1"/>
  <c r="C159" i="2"/>
  <c r="F159" i="2" s="1" a="1"/>
  <c r="F159" i="2" s="1"/>
  <c r="H159" i="2" s="1"/>
  <c r="I159" i="2" s="1" a="1"/>
  <c r="I159" i="2" s="1"/>
  <c r="C143" i="2"/>
  <c r="F143" i="2" s="1" a="1"/>
  <c r="F143" i="2" s="1"/>
  <c r="H143" i="2" s="1"/>
  <c r="I143" i="2" s="1" a="1"/>
  <c r="I143" i="2" s="1"/>
  <c r="C135" i="2"/>
  <c r="F135" i="2" s="1" a="1"/>
  <c r="F135" i="2" s="1"/>
  <c r="H135" i="2" s="1"/>
  <c r="I135" i="2" s="1" a="1"/>
  <c r="I135" i="2" s="1"/>
  <c r="C119" i="2"/>
  <c r="F119" i="2" s="1" a="1"/>
  <c r="F119" i="2" s="1"/>
  <c r="H119" i="2" s="1"/>
  <c r="I119" i="2" s="1" a="1"/>
  <c r="I119" i="2" s="1"/>
  <c r="C103" i="2"/>
  <c r="F103" i="2" s="1" a="1"/>
  <c r="F103" i="2" s="1"/>
  <c r="H103" i="2" s="1"/>
  <c r="I103" i="2" s="1" a="1"/>
  <c r="I103" i="2" s="1"/>
  <c r="C87" i="2"/>
  <c r="F87" i="2" s="1" a="1"/>
  <c r="F87" i="2" s="1"/>
  <c r="H87" i="2" s="1"/>
  <c r="I87" i="2" s="1" a="1"/>
  <c r="I87" i="2" s="1"/>
  <c r="C71" i="2"/>
  <c r="F71" i="2" s="1" a="1"/>
  <c r="F71" i="2" s="1"/>
  <c r="H71" i="2" s="1"/>
  <c r="I71" i="2" s="1" a="1"/>
  <c r="I71" i="2" s="1"/>
  <c r="C55" i="2"/>
  <c r="F55" i="2" s="1" a="1"/>
  <c r="F55" i="2" s="1"/>
  <c r="H55" i="2" s="1"/>
  <c r="I55" i="2" s="1" a="1"/>
  <c r="I55" i="2" s="1"/>
  <c r="C39" i="2"/>
  <c r="F39" i="2" s="1" a="1"/>
  <c r="F39" i="2" s="1"/>
  <c r="H39" i="2" s="1"/>
  <c r="I39" i="2" s="1" a="1"/>
  <c r="I39" i="2" s="1"/>
  <c r="C15" i="2"/>
  <c r="F15" i="2" s="1" a="1"/>
  <c r="F15" i="2" s="1"/>
  <c r="H15" i="2" s="1"/>
  <c r="I15" i="2" s="1" a="1"/>
  <c r="I15" i="2" s="1"/>
  <c r="C182" i="2"/>
  <c r="F182" i="2" s="1" a="1"/>
  <c r="F182" i="2" s="1"/>
  <c r="H182" i="2" s="1"/>
  <c r="I182" i="2" s="1" a="1"/>
  <c r="I182" i="2" s="1"/>
  <c r="C158" i="2"/>
  <c r="F158" i="2" s="1" a="1"/>
  <c r="F158" i="2" s="1"/>
  <c r="H158" i="2" s="1"/>
  <c r="I158" i="2" s="1" a="1"/>
  <c r="I158" i="2" s="1"/>
  <c r="C142" i="2"/>
  <c r="F142" i="2" s="1" a="1"/>
  <c r="F142" i="2" s="1"/>
  <c r="H142" i="2" s="1"/>
  <c r="I142" i="2" s="1" a="1"/>
  <c r="I142" i="2" s="1"/>
  <c r="C126" i="2"/>
  <c r="F126" i="2" s="1" a="1"/>
  <c r="F126" i="2" s="1"/>
  <c r="H126" i="2" s="1"/>
  <c r="I126" i="2" s="1" a="1"/>
  <c r="I126" i="2" s="1"/>
  <c r="C110" i="2"/>
  <c r="F110" i="2" s="1" a="1"/>
  <c r="F110" i="2" s="1"/>
  <c r="H110" i="2" s="1"/>
  <c r="I110" i="2" s="1" a="1"/>
  <c r="I110" i="2" s="1"/>
  <c r="C94" i="2"/>
  <c r="F94" i="2" s="1" a="1"/>
  <c r="F94" i="2" s="1"/>
  <c r="H94" i="2" s="1"/>
  <c r="I94" i="2" s="1" a="1"/>
  <c r="I94" i="2" s="1"/>
  <c r="C78" i="2"/>
  <c r="F78" i="2" s="1" a="1"/>
  <c r="F78" i="2" s="1"/>
  <c r="H78" i="2" s="1"/>
  <c r="I78" i="2" s="1" a="1"/>
  <c r="I78" i="2" s="1"/>
  <c r="C62" i="2"/>
  <c r="F62" i="2" s="1" a="1"/>
  <c r="F62" i="2" s="1"/>
  <c r="H62" i="2" s="1"/>
  <c r="I62" i="2" s="1" a="1"/>
  <c r="I62" i="2" s="1"/>
  <c r="C46" i="2"/>
  <c r="F46" i="2" s="1" a="1"/>
  <c r="F46" i="2" s="1"/>
  <c r="H46" i="2" s="1"/>
  <c r="I46" i="2" s="1" a="1"/>
  <c r="I46" i="2" s="1"/>
  <c r="C30" i="2"/>
  <c r="F30" i="2" s="1" a="1"/>
  <c r="F30" i="2" s="1"/>
  <c r="H30" i="2" s="1"/>
  <c r="I30" i="2" s="1" a="1"/>
  <c r="I30" i="2" s="1"/>
  <c r="C14" i="2"/>
  <c r="F14" i="2" s="1" a="1"/>
  <c r="F14" i="2" s="1"/>
  <c r="H14" i="2" s="1"/>
  <c r="I14" i="2" s="1" a="1"/>
  <c r="I14" i="2" s="1"/>
  <c r="C197" i="2"/>
  <c r="F197" i="2" s="1" a="1"/>
  <c r="F197" i="2" s="1"/>
  <c r="H197" i="2" s="1"/>
  <c r="I197" i="2" s="1" a="1"/>
  <c r="I197" i="2" s="1"/>
  <c r="C189" i="2"/>
  <c r="F189" i="2" s="1" a="1"/>
  <c r="F189" i="2" s="1"/>
  <c r="H189" i="2" s="1"/>
  <c r="I189" i="2" s="1" a="1"/>
  <c r="I189" i="2" s="1"/>
  <c r="C181" i="2"/>
  <c r="F181" i="2" s="1" a="1"/>
  <c r="F181" i="2" s="1"/>
  <c r="H181" i="2" s="1"/>
  <c r="I181" i="2" s="1" a="1"/>
  <c r="I181" i="2" s="1"/>
  <c r="C173" i="2"/>
  <c r="F173" i="2" s="1" a="1"/>
  <c r="F173" i="2" s="1"/>
  <c r="H173" i="2" s="1"/>
  <c r="I173" i="2" s="1" a="1"/>
  <c r="I173" i="2" s="1"/>
  <c r="C165" i="2"/>
  <c r="F165" i="2" s="1" a="1"/>
  <c r="F165" i="2" s="1"/>
  <c r="H165" i="2" s="1"/>
  <c r="I165" i="2" s="1" a="1"/>
  <c r="I165" i="2" s="1"/>
  <c r="C157" i="2"/>
  <c r="F157" i="2" s="1" a="1"/>
  <c r="F157" i="2" s="1"/>
  <c r="H157" i="2" s="1"/>
  <c r="I157" i="2" s="1" a="1"/>
  <c r="I157" i="2" s="1"/>
  <c r="C149" i="2"/>
  <c r="F149" i="2" s="1" a="1"/>
  <c r="F149" i="2" s="1"/>
  <c r="H149" i="2" s="1"/>
  <c r="I149" i="2" s="1" a="1"/>
  <c r="I149" i="2" s="1"/>
  <c r="C141" i="2"/>
  <c r="F141" i="2" s="1" a="1"/>
  <c r="F141" i="2" s="1"/>
  <c r="H141" i="2" s="1"/>
  <c r="I141" i="2" s="1" a="1"/>
  <c r="I141" i="2" s="1"/>
  <c r="C133" i="2"/>
  <c r="F133" i="2" s="1" a="1"/>
  <c r="F133" i="2" s="1"/>
  <c r="H133" i="2" s="1"/>
  <c r="I133" i="2" s="1" a="1"/>
  <c r="I133" i="2" s="1"/>
  <c r="C125" i="2"/>
  <c r="F125" i="2" s="1" a="1"/>
  <c r="F125" i="2" s="1"/>
  <c r="H125" i="2" s="1"/>
  <c r="I125" i="2" s="1" a="1"/>
  <c r="I125" i="2" s="1"/>
  <c r="C117" i="2"/>
  <c r="F117" i="2" s="1" a="1"/>
  <c r="F117" i="2" s="1"/>
  <c r="H117" i="2" s="1"/>
  <c r="I117" i="2" s="1" a="1"/>
  <c r="I117" i="2" s="1"/>
  <c r="C109" i="2"/>
  <c r="F109" i="2" s="1" a="1"/>
  <c r="F109" i="2" s="1"/>
  <c r="H109" i="2" s="1"/>
  <c r="I109" i="2" s="1" a="1"/>
  <c r="I109" i="2" s="1"/>
  <c r="C101" i="2"/>
  <c r="F101" i="2" s="1" a="1"/>
  <c r="F101" i="2" s="1"/>
  <c r="H101" i="2" s="1"/>
  <c r="I101" i="2" s="1" a="1"/>
  <c r="I101" i="2" s="1"/>
  <c r="C93" i="2"/>
  <c r="F93" i="2" s="1" a="1"/>
  <c r="F93" i="2" s="1"/>
  <c r="H93" i="2" s="1"/>
  <c r="I93" i="2" s="1" a="1"/>
  <c r="I93" i="2" s="1"/>
  <c r="C85" i="2"/>
  <c r="F85" i="2" s="1" a="1"/>
  <c r="F85" i="2" s="1"/>
  <c r="H85" i="2" s="1"/>
  <c r="I85" i="2" s="1" a="1"/>
  <c r="I85" i="2" s="1"/>
  <c r="C77" i="2"/>
  <c r="F77" i="2" s="1" a="1"/>
  <c r="F77" i="2" s="1"/>
  <c r="H77" i="2" s="1"/>
  <c r="I77" i="2" s="1" a="1"/>
  <c r="I77" i="2" s="1"/>
  <c r="C69" i="2"/>
  <c r="F69" i="2" s="1" a="1"/>
  <c r="F69" i="2" s="1"/>
  <c r="H69" i="2" s="1"/>
  <c r="I69" i="2" s="1" a="1"/>
  <c r="I69" i="2" s="1"/>
  <c r="C61" i="2"/>
  <c r="F61" i="2" s="1" a="1"/>
  <c r="F61" i="2" s="1"/>
  <c r="H61" i="2" s="1"/>
  <c r="I61" i="2" s="1" a="1"/>
  <c r="I61" i="2" s="1"/>
  <c r="C53" i="2"/>
  <c r="F53" i="2" s="1" a="1"/>
  <c r="F53" i="2" s="1"/>
  <c r="H53" i="2" s="1"/>
  <c r="I53" i="2" s="1" a="1"/>
  <c r="I53" i="2" s="1"/>
  <c r="C45" i="2"/>
  <c r="F45" i="2" s="1" a="1"/>
  <c r="F45" i="2" s="1"/>
  <c r="H45" i="2" s="1"/>
  <c r="I45" i="2" s="1" a="1"/>
  <c r="I45" i="2" s="1"/>
  <c r="C37" i="2"/>
  <c r="F37" i="2" s="1" a="1"/>
  <c r="F37" i="2" s="1"/>
  <c r="H37" i="2" s="1"/>
  <c r="I37" i="2" s="1" a="1"/>
  <c r="I37" i="2" s="1"/>
  <c r="C29" i="2"/>
  <c r="F29" i="2" s="1" a="1"/>
  <c r="F29" i="2" s="1"/>
  <c r="H29" i="2" s="1"/>
  <c r="I29" i="2" s="1" a="1"/>
  <c r="I29" i="2" s="1"/>
  <c r="C21" i="2"/>
  <c r="F21" i="2" s="1" a="1"/>
  <c r="F21" i="2" s="1"/>
  <c r="H21" i="2" s="1"/>
  <c r="I21" i="2" s="1" a="1"/>
  <c r="I21" i="2" s="1"/>
  <c r="C13" i="2"/>
  <c r="F13" i="2" s="1" a="1"/>
  <c r="F13" i="2" s="1"/>
  <c r="H13" i="2" s="1"/>
  <c r="I13" i="2" s="1" a="1"/>
  <c r="I13" i="2" s="1"/>
  <c r="C5" i="2"/>
  <c r="F5" i="2" s="1" a="1"/>
  <c r="F5" i="2" s="1"/>
  <c r="H5" i="2" s="1"/>
  <c r="I5" i="2" s="1" a="1"/>
  <c r="I5" i="2" s="1"/>
  <c r="C170" i="2"/>
  <c r="F170" i="2" s="1" a="1"/>
  <c r="F170" i="2" s="1"/>
  <c r="H170" i="2" s="1"/>
  <c r="I170" i="2" s="1" a="1"/>
  <c r="I170" i="2" s="1"/>
  <c r="C146" i="2"/>
  <c r="F146" i="2" s="1" a="1"/>
  <c r="F146" i="2" s="1"/>
  <c r="H146" i="2" s="1"/>
  <c r="I146" i="2" s="1" a="1"/>
  <c r="I146" i="2" s="1"/>
  <c r="C114" i="2"/>
  <c r="F114" i="2" s="1" a="1"/>
  <c r="F114" i="2" s="1"/>
  <c r="H114" i="2" s="1"/>
  <c r="I114" i="2" s="1" a="1"/>
  <c r="I114" i="2" s="1"/>
  <c r="C90" i="2"/>
  <c r="F90" i="2" s="1" a="1"/>
  <c r="F90" i="2" s="1"/>
  <c r="H90" i="2" s="1"/>
  <c r="I90" i="2" s="1" a="1"/>
  <c r="I90" i="2" s="1"/>
  <c r="C66" i="2"/>
  <c r="F66" i="2" s="1" a="1"/>
  <c r="F66" i="2" s="1"/>
  <c r="H66" i="2" s="1"/>
  <c r="I66" i="2" s="1" a="1"/>
  <c r="I66" i="2" s="1"/>
  <c r="C42" i="2"/>
  <c r="F42" i="2" s="1" a="1"/>
  <c r="F42" i="2" s="1"/>
  <c r="H42" i="2" s="1"/>
  <c r="I42" i="2" s="1" a="1"/>
  <c r="I42" i="2" s="1"/>
  <c r="C26" i="2"/>
  <c r="F26" i="2" s="1" a="1"/>
  <c r="F26" i="2" s="1"/>
  <c r="H26" i="2" s="1"/>
  <c r="I26" i="2" s="1" a="1"/>
  <c r="I26" i="2" s="1"/>
  <c r="C193" i="2"/>
  <c r="F193" i="2" s="1" a="1"/>
  <c r="F193" i="2" s="1"/>
  <c r="H193" i="2" s="1"/>
  <c r="I193" i="2" s="1" a="1"/>
  <c r="I193" i="2" s="1"/>
  <c r="C161" i="2"/>
  <c r="F161" i="2" s="1" a="1"/>
  <c r="F161" i="2" s="1"/>
  <c r="H161" i="2" s="1"/>
  <c r="I161" i="2" s="1" a="1"/>
  <c r="I161" i="2" s="1"/>
  <c r="C137" i="2"/>
  <c r="F137" i="2" s="1" a="1"/>
  <c r="F137" i="2" s="1"/>
  <c r="H137" i="2" s="1"/>
  <c r="I137" i="2" s="1" a="1"/>
  <c r="I137" i="2" s="1"/>
  <c r="C113" i="2"/>
  <c r="F113" i="2" s="1" a="1"/>
  <c r="F113" i="2" s="1"/>
  <c r="H113" i="2" s="1"/>
  <c r="I113" i="2" s="1" a="1"/>
  <c r="I113" i="2" s="1"/>
  <c r="C89" i="2"/>
  <c r="F89" i="2" s="1" a="1"/>
  <c r="F89" i="2" s="1"/>
  <c r="H89" i="2" s="1"/>
  <c r="I89" i="2" s="1" a="1"/>
  <c r="I89" i="2" s="1"/>
  <c r="C81" i="2"/>
  <c r="F81" i="2" s="1" a="1"/>
  <c r="F81" i="2" s="1"/>
  <c r="H81" i="2" s="1"/>
  <c r="I81" i="2" s="1" a="1"/>
  <c r="I81" i="2" s="1"/>
  <c r="C57" i="2"/>
  <c r="F57" i="2" s="1" a="1"/>
  <c r="F57" i="2" s="1"/>
  <c r="H57" i="2" s="1"/>
  <c r="I57" i="2" s="1" a="1"/>
  <c r="I57" i="2" s="1"/>
  <c r="C41" i="2"/>
  <c r="F41" i="2" s="1" a="1"/>
  <c r="F41" i="2" s="1"/>
  <c r="H41" i="2" s="1"/>
  <c r="I41" i="2" s="1" a="1"/>
  <c r="I41" i="2" s="1"/>
  <c r="C17" i="2"/>
  <c r="F17" i="2" s="1" a="1"/>
  <c r="F17" i="2" s="1"/>
  <c r="H17" i="2" s="1"/>
  <c r="I17" i="2" s="1" a="1"/>
  <c r="I17" i="2" s="1"/>
  <c r="C183" i="2"/>
  <c r="F183" i="2" s="1" a="1"/>
  <c r="F183" i="2" s="1"/>
  <c r="H183" i="2" s="1"/>
  <c r="I183" i="2" s="1" a="1"/>
  <c r="I183" i="2" s="1"/>
  <c r="C167" i="2"/>
  <c r="F167" i="2" s="1" a="1"/>
  <c r="F167" i="2" s="1"/>
  <c r="H167" i="2" s="1"/>
  <c r="I167" i="2" s="1" a="1"/>
  <c r="I167" i="2" s="1"/>
  <c r="C151" i="2"/>
  <c r="F151" i="2" s="1" a="1"/>
  <c r="F151" i="2" s="1"/>
  <c r="H151" i="2" s="1"/>
  <c r="I151" i="2" s="1" a="1"/>
  <c r="I151" i="2" s="1"/>
  <c r="C127" i="2"/>
  <c r="F127" i="2" s="1" a="1"/>
  <c r="F127" i="2" s="1"/>
  <c r="H127" i="2" s="1"/>
  <c r="I127" i="2" s="1" a="1"/>
  <c r="I127" i="2" s="1"/>
  <c r="C111" i="2"/>
  <c r="F111" i="2" s="1" a="1"/>
  <c r="F111" i="2" s="1"/>
  <c r="H111" i="2" s="1"/>
  <c r="I111" i="2" s="1" a="1"/>
  <c r="I111" i="2" s="1"/>
  <c r="C95" i="2"/>
  <c r="F95" i="2" s="1" a="1"/>
  <c r="F95" i="2" s="1"/>
  <c r="H95" i="2" s="1"/>
  <c r="I95" i="2" s="1" a="1"/>
  <c r="I95" i="2" s="1"/>
  <c r="C79" i="2"/>
  <c r="F79" i="2" s="1" a="1"/>
  <c r="F79" i="2" s="1"/>
  <c r="H79" i="2" s="1"/>
  <c r="I79" i="2" s="1" a="1"/>
  <c r="I79" i="2" s="1"/>
  <c r="C63" i="2"/>
  <c r="F63" i="2" s="1" a="1"/>
  <c r="F63" i="2" s="1"/>
  <c r="H63" i="2" s="1"/>
  <c r="I63" i="2" s="1" a="1"/>
  <c r="I63" i="2" s="1"/>
  <c r="C47" i="2"/>
  <c r="F47" i="2" s="1" a="1"/>
  <c r="F47" i="2" s="1"/>
  <c r="H47" i="2" s="1"/>
  <c r="I47" i="2" s="1" a="1"/>
  <c r="I47" i="2" s="1"/>
  <c r="C31" i="2"/>
  <c r="F31" i="2" s="1" a="1"/>
  <c r="F31" i="2" s="1"/>
  <c r="H31" i="2" s="1"/>
  <c r="I31" i="2" s="1" a="1"/>
  <c r="I31" i="2" s="1"/>
  <c r="C23" i="2"/>
  <c r="F23" i="2" s="1" a="1"/>
  <c r="F23" i="2" s="1"/>
  <c r="H23" i="2" s="1"/>
  <c r="I23" i="2" s="1" a="1"/>
  <c r="I23" i="2" s="1"/>
  <c r="C7" i="2"/>
  <c r="F7" i="2" s="1" a="1"/>
  <c r="F7" i="2" s="1"/>
  <c r="H7" i="2" s="1"/>
  <c r="I7" i="2" s="1" a="1"/>
  <c r="I7" i="2" s="1"/>
  <c r="C198" i="2"/>
  <c r="F198" i="2" s="1" a="1"/>
  <c r="F198" i="2" s="1"/>
  <c r="H198" i="2" s="1"/>
  <c r="I198" i="2" s="1" a="1"/>
  <c r="I198" i="2" s="1"/>
  <c r="C190" i="2"/>
  <c r="F190" i="2" s="1" a="1"/>
  <c r="F190" i="2" s="1"/>
  <c r="H190" i="2" s="1"/>
  <c r="I190" i="2" s="1" a="1"/>
  <c r="I190" i="2" s="1"/>
  <c r="C174" i="2"/>
  <c r="F174" i="2" s="1" a="1"/>
  <c r="F174" i="2" s="1"/>
  <c r="H174" i="2" s="1"/>
  <c r="I174" i="2" s="1" a="1"/>
  <c r="I174" i="2" s="1"/>
  <c r="C166" i="2"/>
  <c r="F166" i="2" s="1" a="1"/>
  <c r="F166" i="2" s="1"/>
  <c r="H166" i="2" s="1"/>
  <c r="I166" i="2" s="1" a="1"/>
  <c r="I166" i="2" s="1"/>
  <c r="C150" i="2"/>
  <c r="F150" i="2" s="1" a="1"/>
  <c r="F150" i="2" s="1"/>
  <c r="H150" i="2" s="1"/>
  <c r="I150" i="2" s="1" a="1"/>
  <c r="I150" i="2" s="1"/>
  <c r="C134" i="2"/>
  <c r="F134" i="2" s="1" a="1"/>
  <c r="F134" i="2" s="1"/>
  <c r="H134" i="2" s="1"/>
  <c r="I134" i="2" s="1" a="1"/>
  <c r="I134" i="2" s="1"/>
  <c r="C118" i="2"/>
  <c r="F118" i="2" s="1" a="1"/>
  <c r="F118" i="2" s="1"/>
  <c r="H118" i="2" s="1"/>
  <c r="I118" i="2" s="1" a="1"/>
  <c r="I118" i="2" s="1"/>
  <c r="C102" i="2"/>
  <c r="F102" i="2" s="1" a="1"/>
  <c r="F102" i="2" s="1"/>
  <c r="H102" i="2" s="1"/>
  <c r="I102" i="2" s="1" a="1"/>
  <c r="I102" i="2" s="1"/>
  <c r="C86" i="2"/>
  <c r="F86" i="2" s="1" a="1"/>
  <c r="F86" i="2" s="1"/>
  <c r="H86" i="2" s="1"/>
  <c r="I86" i="2" s="1" a="1"/>
  <c r="I86" i="2" s="1"/>
  <c r="C70" i="2"/>
  <c r="F70" i="2" s="1" a="1"/>
  <c r="F70" i="2" s="1"/>
  <c r="H70" i="2" s="1"/>
  <c r="I70" i="2" s="1" a="1"/>
  <c r="I70" i="2" s="1"/>
  <c r="C54" i="2"/>
  <c r="F54" i="2" s="1" a="1"/>
  <c r="F54" i="2" s="1"/>
  <c r="H54" i="2" s="1"/>
  <c r="I54" i="2" s="1" a="1"/>
  <c r="I54" i="2" s="1"/>
  <c r="C38" i="2"/>
  <c r="F38" i="2" s="1" a="1"/>
  <c r="F38" i="2" s="1"/>
  <c r="H38" i="2" s="1"/>
  <c r="I38" i="2" s="1" a="1"/>
  <c r="I38" i="2" s="1"/>
  <c r="C22" i="2"/>
  <c r="F22" i="2" s="1" a="1"/>
  <c r="F22" i="2" s="1"/>
  <c r="H22" i="2" s="1"/>
  <c r="I22" i="2" s="1" a="1"/>
  <c r="I22" i="2" s="1"/>
  <c r="C6" i="2"/>
  <c r="F6" i="2" s="1" a="1"/>
  <c r="F6" i="2" s="1"/>
  <c r="H6" i="2" s="1"/>
  <c r="I6" i="2" s="1" a="1"/>
  <c r="I6" i="2" s="1"/>
  <c r="C196" i="2"/>
  <c r="F196" i="2" s="1" a="1"/>
  <c r="F196" i="2" s="1"/>
  <c r="H196" i="2" s="1"/>
  <c r="I196" i="2" s="1" a="1"/>
  <c r="I196" i="2" s="1"/>
  <c r="C188" i="2"/>
  <c r="F188" i="2" s="1" a="1"/>
  <c r="F188" i="2" s="1"/>
  <c r="H188" i="2" s="1"/>
  <c r="I188" i="2" s="1" a="1"/>
  <c r="I188" i="2" s="1"/>
  <c r="C180" i="2"/>
  <c r="F180" i="2" s="1" a="1"/>
  <c r="F180" i="2" s="1"/>
  <c r="H180" i="2" s="1"/>
  <c r="I180" i="2" s="1" a="1"/>
  <c r="I180" i="2" s="1"/>
  <c r="C172" i="2"/>
  <c r="F172" i="2" s="1" a="1"/>
  <c r="F172" i="2" s="1"/>
  <c r="H172" i="2" s="1"/>
  <c r="I172" i="2" s="1" a="1"/>
  <c r="I172" i="2" s="1"/>
  <c r="C164" i="2"/>
  <c r="F164" i="2" s="1" a="1"/>
  <c r="F164" i="2" s="1"/>
  <c r="H164" i="2" s="1"/>
  <c r="I164" i="2" s="1" a="1"/>
  <c r="I164" i="2" s="1"/>
  <c r="C156" i="2"/>
  <c r="F156" i="2" s="1" a="1"/>
  <c r="F156" i="2" s="1"/>
  <c r="H156" i="2" s="1"/>
  <c r="I156" i="2" s="1" a="1"/>
  <c r="I156" i="2" s="1"/>
  <c r="C148" i="2"/>
  <c r="F148" i="2" s="1" a="1"/>
  <c r="F148" i="2" s="1"/>
  <c r="H148" i="2" s="1"/>
  <c r="I148" i="2" s="1" a="1"/>
  <c r="I148" i="2" s="1"/>
  <c r="C140" i="2"/>
  <c r="F140" i="2" s="1" a="1"/>
  <c r="F140" i="2" s="1"/>
  <c r="H140" i="2" s="1"/>
  <c r="I140" i="2" s="1" a="1"/>
  <c r="I140" i="2" s="1"/>
  <c r="C132" i="2"/>
  <c r="F132" i="2" s="1" a="1"/>
  <c r="F132" i="2" s="1"/>
  <c r="H132" i="2" s="1"/>
  <c r="I132" i="2" s="1" a="1"/>
  <c r="I132" i="2" s="1"/>
  <c r="C124" i="2"/>
  <c r="F124" i="2" s="1" a="1"/>
  <c r="F124" i="2" s="1"/>
  <c r="H124" i="2" s="1"/>
  <c r="I124" i="2" s="1" a="1"/>
  <c r="I124" i="2" s="1"/>
  <c r="C116" i="2"/>
  <c r="F116" i="2" s="1" a="1"/>
  <c r="F116" i="2" s="1"/>
  <c r="H116" i="2" s="1"/>
  <c r="I116" i="2" s="1" a="1"/>
  <c r="I116" i="2" s="1"/>
  <c r="C108" i="2"/>
  <c r="F108" i="2" s="1" a="1"/>
  <c r="F108" i="2" s="1"/>
  <c r="H108" i="2" s="1"/>
  <c r="I108" i="2" s="1" a="1"/>
  <c r="I108" i="2" s="1"/>
  <c r="C100" i="2"/>
  <c r="F100" i="2" s="1" a="1"/>
  <c r="F100" i="2" s="1"/>
  <c r="H100" i="2" s="1"/>
  <c r="I100" i="2" s="1" a="1"/>
  <c r="I100" i="2" s="1"/>
  <c r="C92" i="2"/>
  <c r="F92" i="2" s="1" a="1"/>
  <c r="F92" i="2" s="1"/>
  <c r="H92" i="2" s="1"/>
  <c r="I92" i="2" s="1" a="1"/>
  <c r="I92" i="2" s="1"/>
  <c r="C84" i="2"/>
  <c r="F84" i="2" s="1" a="1"/>
  <c r="F84" i="2" s="1"/>
  <c r="H84" i="2" s="1"/>
  <c r="I84" i="2" s="1" a="1"/>
  <c r="I84" i="2" s="1"/>
  <c r="C76" i="2"/>
  <c r="F76" i="2" s="1" a="1"/>
  <c r="F76" i="2" s="1"/>
  <c r="H76" i="2" s="1"/>
  <c r="I76" i="2" s="1" a="1"/>
  <c r="I76" i="2" s="1"/>
  <c r="C68" i="2"/>
  <c r="F68" i="2" s="1" a="1"/>
  <c r="F68" i="2" s="1"/>
  <c r="H68" i="2" s="1"/>
  <c r="I68" i="2" s="1" a="1"/>
  <c r="I68" i="2" s="1"/>
  <c r="C60" i="2"/>
  <c r="F60" i="2" s="1" a="1"/>
  <c r="F60" i="2" s="1"/>
  <c r="H60" i="2" s="1"/>
  <c r="I60" i="2" s="1" a="1"/>
  <c r="I60" i="2" s="1"/>
  <c r="C52" i="2"/>
  <c r="F52" i="2" s="1" a="1"/>
  <c r="F52" i="2" s="1"/>
  <c r="H52" i="2" s="1"/>
  <c r="I52" i="2" s="1" a="1"/>
  <c r="I52" i="2" s="1"/>
  <c r="C44" i="2"/>
  <c r="F44" i="2" s="1" a="1"/>
  <c r="F44" i="2" s="1"/>
  <c r="H44" i="2" s="1"/>
  <c r="I44" i="2" s="1" a="1"/>
  <c r="I44" i="2" s="1"/>
  <c r="C36" i="2"/>
  <c r="F36" i="2" s="1" a="1"/>
  <c r="F36" i="2" s="1"/>
  <c r="H36" i="2" s="1"/>
  <c r="I36" i="2" s="1" a="1"/>
  <c r="I36" i="2" s="1"/>
  <c r="C28" i="2"/>
  <c r="F28" i="2" s="1" a="1"/>
  <c r="F28" i="2" s="1"/>
  <c r="H28" i="2" s="1"/>
  <c r="I28" i="2" s="1" a="1"/>
  <c r="I28" i="2" s="1"/>
  <c r="C20" i="2"/>
  <c r="F20" i="2" s="1" a="1"/>
  <c r="F20" i="2" s="1"/>
  <c r="H20" i="2" s="1"/>
  <c r="I20" i="2" s="1" a="1"/>
  <c r="I20" i="2" s="1"/>
  <c r="C12" i="2"/>
  <c r="F12" i="2" s="1" a="1"/>
  <c r="F12" i="2" s="1"/>
  <c r="H12" i="2" s="1"/>
  <c r="I12" i="2" s="1" a="1"/>
  <c r="I12" i="2" s="1"/>
  <c r="C4" i="2"/>
  <c r="F4" i="2" s="1" a="1"/>
  <c r="F4" i="2" s="1"/>
  <c r="H4" i="2" s="1"/>
  <c r="I4" i="2" s="1" a="1"/>
  <c r="I4" i="2" s="1"/>
  <c r="C195" i="2"/>
  <c r="F195" i="2" s="1" a="1"/>
  <c r="F195" i="2" s="1"/>
  <c r="H195" i="2" s="1"/>
  <c r="I195" i="2" s="1" a="1"/>
  <c r="I195" i="2" s="1"/>
  <c r="C187" i="2"/>
  <c r="F187" i="2" s="1" a="1"/>
  <c r="F187" i="2" s="1"/>
  <c r="H187" i="2" s="1"/>
  <c r="I187" i="2" s="1" a="1"/>
  <c r="I187" i="2" s="1"/>
  <c r="C179" i="2"/>
  <c r="F179" i="2" s="1" a="1"/>
  <c r="F179" i="2" s="1"/>
  <c r="H179" i="2" s="1"/>
  <c r="I179" i="2" s="1" a="1"/>
  <c r="I179" i="2" s="1"/>
  <c r="C171" i="2"/>
  <c r="F171" i="2" s="1" a="1"/>
  <c r="F171" i="2" s="1"/>
  <c r="H171" i="2" s="1"/>
  <c r="I171" i="2" s="1" a="1"/>
  <c r="I171" i="2" s="1"/>
  <c r="C163" i="2"/>
  <c r="F163" i="2" s="1" a="1"/>
  <c r="F163" i="2" s="1"/>
  <c r="H163" i="2" s="1"/>
  <c r="I163" i="2" s="1" a="1"/>
  <c r="I163" i="2" s="1"/>
  <c r="C155" i="2"/>
  <c r="F155" i="2" s="1" a="1"/>
  <c r="F155" i="2" s="1"/>
  <c r="H155" i="2" s="1"/>
  <c r="I155" i="2" s="1" a="1"/>
  <c r="I155" i="2" s="1"/>
  <c r="C147" i="2"/>
  <c r="F147" i="2" s="1" a="1"/>
  <c r="F147" i="2" s="1"/>
  <c r="H147" i="2" s="1"/>
  <c r="I147" i="2" s="1" a="1"/>
  <c r="I147" i="2" s="1"/>
  <c r="C139" i="2"/>
  <c r="F139" i="2" s="1" a="1"/>
  <c r="F139" i="2" s="1"/>
  <c r="H139" i="2" s="1"/>
  <c r="I139" i="2" s="1" a="1"/>
  <c r="I139" i="2" s="1"/>
  <c r="C131" i="2"/>
  <c r="F131" i="2" s="1" a="1"/>
  <c r="F131" i="2" s="1"/>
  <c r="H131" i="2" s="1"/>
  <c r="I131" i="2" s="1" a="1"/>
  <c r="I131" i="2" s="1"/>
  <c r="C123" i="2"/>
  <c r="F123" i="2" s="1" a="1"/>
  <c r="F123" i="2" s="1"/>
  <c r="H123" i="2" s="1"/>
  <c r="I123" i="2" s="1" a="1"/>
  <c r="I123" i="2" s="1"/>
  <c r="C115" i="2"/>
  <c r="F115" i="2" s="1" a="1"/>
  <c r="F115" i="2" s="1"/>
  <c r="H115" i="2" s="1"/>
  <c r="I115" i="2" s="1" a="1"/>
  <c r="I115" i="2" s="1"/>
  <c r="C107" i="2"/>
  <c r="F107" i="2" s="1" a="1"/>
  <c r="F107" i="2" s="1"/>
  <c r="H107" i="2" s="1"/>
  <c r="I107" i="2" s="1" a="1"/>
  <c r="I107" i="2" s="1"/>
  <c r="C99" i="2"/>
  <c r="F99" i="2" s="1" a="1"/>
  <c r="F99" i="2" s="1"/>
  <c r="H99" i="2" s="1"/>
  <c r="I99" i="2" s="1" a="1"/>
  <c r="I99" i="2" s="1"/>
  <c r="C91" i="2"/>
  <c r="F91" i="2" s="1" a="1"/>
  <c r="F91" i="2" s="1"/>
  <c r="H91" i="2" s="1"/>
  <c r="I91" i="2" s="1" a="1"/>
  <c r="I91" i="2" s="1"/>
  <c r="C83" i="2"/>
  <c r="F83" i="2" s="1" a="1"/>
  <c r="F83" i="2" s="1"/>
  <c r="H83" i="2" s="1"/>
  <c r="I83" i="2" s="1" a="1"/>
  <c r="I83" i="2" s="1"/>
  <c r="C75" i="2"/>
  <c r="F75" i="2" s="1" a="1"/>
  <c r="F75" i="2" s="1"/>
  <c r="H75" i="2" s="1"/>
  <c r="I75" i="2" s="1" a="1"/>
  <c r="I75" i="2" s="1"/>
  <c r="C67" i="2"/>
  <c r="F67" i="2" s="1" a="1"/>
  <c r="F67" i="2" s="1"/>
  <c r="H67" i="2" s="1"/>
  <c r="I67" i="2" s="1" a="1"/>
  <c r="I67" i="2" s="1"/>
  <c r="C59" i="2"/>
  <c r="F59" i="2" s="1" a="1"/>
  <c r="F59" i="2" s="1"/>
  <c r="H59" i="2" s="1"/>
  <c r="I59" i="2" s="1" a="1"/>
  <c r="I59" i="2" s="1"/>
  <c r="C51" i="2"/>
  <c r="F51" i="2" s="1" a="1"/>
  <c r="F51" i="2" s="1"/>
  <c r="H51" i="2" s="1"/>
  <c r="I51" i="2" s="1" a="1"/>
  <c r="I51" i="2" s="1"/>
  <c r="C43" i="2"/>
  <c r="F43" i="2" s="1" a="1"/>
  <c r="F43" i="2" s="1"/>
  <c r="H43" i="2" s="1"/>
  <c r="I43" i="2" s="1" a="1"/>
  <c r="I43" i="2" s="1"/>
  <c r="C35" i="2"/>
  <c r="F35" i="2" s="1" a="1"/>
  <c r="F35" i="2" s="1"/>
  <c r="H35" i="2" s="1"/>
  <c r="I35" i="2" s="1" a="1"/>
  <c r="I35" i="2" s="1"/>
  <c r="C27" i="2"/>
  <c r="F27" i="2" s="1" a="1"/>
  <c r="F27" i="2" s="1"/>
  <c r="H27" i="2" s="1"/>
  <c r="I27" i="2" s="1" a="1"/>
  <c r="I27" i="2" s="1"/>
  <c r="C19" i="2"/>
  <c r="F19" i="2" s="1" a="1"/>
  <c r="F19" i="2" s="1"/>
  <c r="H19" i="2" s="1"/>
  <c r="I19" i="2" s="1" a="1"/>
  <c r="I19" i="2" s="1"/>
  <c r="C11" i="2"/>
  <c r="F11" i="2" s="1" a="1"/>
  <c r="F11" i="2" s="1"/>
  <c r="H11" i="2" s="1"/>
  <c r="I11" i="2" s="1" a="1"/>
  <c r="I11" i="2" s="1"/>
  <c r="C3" i="2"/>
  <c r="F3" i="2" s="1" a="1"/>
  <c r="F3" i="2" s="1"/>
  <c r="H3" i="2" s="1"/>
  <c r="I3" i="2" s="1" a="1"/>
  <c r="I3" i="2" s="1"/>
  <c r="B12" i="3" l="1"/>
  <c r="B3" i="3"/>
  <c r="B2" i="3"/>
  <c r="B5" i="3" l="1"/>
  <c r="B6" i="3"/>
  <c r="B7" i="3"/>
  <c r="B4" i="3"/>
  <c r="B8" i="3"/>
  <c r="C8" i="3" l="1"/>
  <c r="C7" i="3"/>
  <c r="C5" i="3"/>
  <c r="C6" i="3"/>
  <c r="C2" i="3"/>
  <c r="C4" i="3"/>
  <c r="C3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<sst xmlns="http://schemas.openxmlformats.org/spreadsheetml/2006/main" count="9055" uniqueCount="618">
  <si>
    <t>CustomerID</t>
  </si>
  <si>
    <t>TransactionDate</t>
  </si>
  <si>
    <t>TransactionAmount</t>
  </si>
  <si>
    <t>ProductCategory</t>
  </si>
  <si>
    <t>Quantity</t>
  </si>
  <si>
    <t>Location</t>
  </si>
  <si>
    <t>Channel</t>
  </si>
  <si>
    <t>AgeGroup</t>
  </si>
  <si>
    <t>Gender</t>
  </si>
  <si>
    <t>SignupDate</t>
  </si>
  <si>
    <t>CustomerType</t>
  </si>
  <si>
    <t>CUST0052</t>
  </si>
  <si>
    <t>CUST0170</t>
  </si>
  <si>
    <t>CUST0115</t>
  </si>
  <si>
    <t>CUST0128</t>
  </si>
  <si>
    <t>CUST0177</t>
  </si>
  <si>
    <t>CUST0118</t>
  </si>
  <si>
    <t>CUST0001</t>
  </si>
  <si>
    <t>CUST0196</t>
  </si>
  <si>
    <t>CUST0055</t>
  </si>
  <si>
    <t>CUST0101</t>
  </si>
  <si>
    <t>CUST0010</t>
  </si>
  <si>
    <t>CUST0078</t>
  </si>
  <si>
    <t>CUST0060</t>
  </si>
  <si>
    <t>CUST0185</t>
  </si>
  <si>
    <t>CUST0083</t>
  </si>
  <si>
    <t>CUST0018</t>
  </si>
  <si>
    <t>CUST0029</t>
  </si>
  <si>
    <t>CUST0116</t>
  </si>
  <si>
    <t>CUST0149</t>
  </si>
  <si>
    <t>CUST0082</t>
  </si>
  <si>
    <t>CUST0102</t>
  </si>
  <si>
    <t>CUST0125</t>
  </si>
  <si>
    <t>CUST0020</t>
  </si>
  <si>
    <t>CUST0081</t>
  </si>
  <si>
    <t>CUST0040</t>
  </si>
  <si>
    <t>CUST0037</t>
  </si>
  <si>
    <t>CUST0165</t>
  </si>
  <si>
    <t>CUST0130</t>
  </si>
  <si>
    <t>CUST0068</t>
  </si>
  <si>
    <t>CUST0069</t>
  </si>
  <si>
    <t>CUST0103</t>
  </si>
  <si>
    <t>CUST0091</t>
  </si>
  <si>
    <t>CUST0048</t>
  </si>
  <si>
    <t>CUST0054</t>
  </si>
  <si>
    <t>CUST0169</t>
  </si>
  <si>
    <t>CUST0104</t>
  </si>
  <si>
    <t>CUST0050</t>
  </si>
  <si>
    <t>CUST0005</t>
  </si>
  <si>
    <t>CUST0140</t>
  </si>
  <si>
    <t>CUST0064</t>
  </si>
  <si>
    <t>CUST0111</t>
  </si>
  <si>
    <t>CUST0192</t>
  </si>
  <si>
    <t>CUST0012</t>
  </si>
  <si>
    <t>CUST0150</t>
  </si>
  <si>
    <t>CUST0063</t>
  </si>
  <si>
    <t>CUST0041</t>
  </si>
  <si>
    <t>CUST0024</t>
  </si>
  <si>
    <t>CUST0188</t>
  </si>
  <si>
    <t>CUST0034</t>
  </si>
  <si>
    <t>CUST0107</t>
  </si>
  <si>
    <t>CUST0092</t>
  </si>
  <si>
    <t>CUST0073</t>
  </si>
  <si>
    <t>CUST0019</t>
  </si>
  <si>
    <t>CUST0178</t>
  </si>
  <si>
    <t>CUST0065</t>
  </si>
  <si>
    <t>CUST0053</t>
  </si>
  <si>
    <t>CUST0067</t>
  </si>
  <si>
    <t>CUST0007</t>
  </si>
  <si>
    <t>CUST0160</t>
  </si>
  <si>
    <t>CUST0093</t>
  </si>
  <si>
    <t>CUST0080</t>
  </si>
  <si>
    <t>CUST0015</t>
  </si>
  <si>
    <t>CUST0088</t>
  </si>
  <si>
    <t>CUST0134</t>
  </si>
  <si>
    <t>CUST0131</t>
  </si>
  <si>
    <t>CUST0190</t>
  </si>
  <si>
    <t>CUST0152</t>
  </si>
  <si>
    <t>CUST0023</t>
  </si>
  <si>
    <t>CUST0197</t>
  </si>
  <si>
    <t>CUST0072</t>
  </si>
  <si>
    <t>CUST0100</t>
  </si>
  <si>
    <t>CUST0153</t>
  </si>
  <si>
    <t>CUST0194</t>
  </si>
  <si>
    <t>CUST0113</t>
  </si>
  <si>
    <t>CUST0074</t>
  </si>
  <si>
    <t>CUST0075</t>
  </si>
  <si>
    <t>CUST0179</t>
  </si>
  <si>
    <t>CUST0003</t>
  </si>
  <si>
    <t>CUST0164</t>
  </si>
  <si>
    <t>CUST0044</t>
  </si>
  <si>
    <t>CUST0112</t>
  </si>
  <si>
    <t>CUST0174</t>
  </si>
  <si>
    <t>CUST0133</t>
  </si>
  <si>
    <t>CUST0049</t>
  </si>
  <si>
    <t>CUST0058</t>
  </si>
  <si>
    <t>CUST0200</t>
  </si>
  <si>
    <t>CUST0135</t>
  </si>
  <si>
    <t>CUST0011</t>
  </si>
  <si>
    <t>CUST0124</t>
  </si>
  <si>
    <t>CUST0071</t>
  </si>
  <si>
    <t>CUST0046</t>
  </si>
  <si>
    <t>CUST0026</t>
  </si>
  <si>
    <t>CUST0157</t>
  </si>
  <si>
    <t>CUST0070</t>
  </si>
  <si>
    <t>CUST0117</t>
  </si>
  <si>
    <t>CUST0199</t>
  </si>
  <si>
    <t>CUST0098</t>
  </si>
  <si>
    <t>CUST0129</t>
  </si>
  <si>
    <t>CUST0076</t>
  </si>
  <si>
    <t>CUST0025</t>
  </si>
  <si>
    <t>CUST0043</t>
  </si>
  <si>
    <t>CUST0123</t>
  </si>
  <si>
    <t>CUST0095</t>
  </si>
  <si>
    <t>CUST0051</t>
  </si>
  <si>
    <t>CUST0126</t>
  </si>
  <si>
    <t>CUST0061</t>
  </si>
  <si>
    <t>CUST0030</t>
  </si>
  <si>
    <t>CUST0039</t>
  </si>
  <si>
    <t>CUST0163</t>
  </si>
  <si>
    <t>CUST0155</t>
  </si>
  <si>
    <t>CUST0147</t>
  </si>
  <si>
    <t>CUST0009</t>
  </si>
  <si>
    <t>CUST0022</t>
  </si>
  <si>
    <t>CUST0062</t>
  </si>
  <si>
    <t>CUST0191</t>
  </si>
  <si>
    <t>CUST0109</t>
  </si>
  <si>
    <t>CUST0119</t>
  </si>
  <si>
    <t>CUST0142</t>
  </si>
  <si>
    <t>CUST0141</t>
  </si>
  <si>
    <t>CUST0077</t>
  </si>
  <si>
    <t>CUST0132</t>
  </si>
  <si>
    <t>CUST0105</t>
  </si>
  <si>
    <t>CUST0138</t>
  </si>
  <si>
    <t>CUST0189</t>
  </si>
  <si>
    <t>CUST0110</t>
  </si>
  <si>
    <t>CUST0158</t>
  </si>
  <si>
    <t>CUST0172</t>
  </si>
  <si>
    <t>CUST0002</t>
  </si>
  <si>
    <t>CUST0057</t>
  </si>
  <si>
    <t>CUST0168</t>
  </si>
  <si>
    <t>CUST0167</t>
  </si>
  <si>
    <t>CUST0047</t>
  </si>
  <si>
    <t>CUST0045</t>
  </si>
  <si>
    <t>CUST0154</t>
  </si>
  <si>
    <t>CUST0145</t>
  </si>
  <si>
    <t>CUST0136</t>
  </si>
  <si>
    <t>CUST0173</t>
  </si>
  <si>
    <t>CUST0036</t>
  </si>
  <si>
    <t>CUST0028</t>
  </si>
  <si>
    <t>CUST0146</t>
  </si>
  <si>
    <t>CUST0162</t>
  </si>
  <si>
    <t>CUST0122</t>
  </si>
  <si>
    <t>CUST0056</t>
  </si>
  <si>
    <t>CUST0187</t>
  </si>
  <si>
    <t>CUST0027</t>
  </si>
  <si>
    <t>CUST0183</t>
  </si>
  <si>
    <t>CUST0038</t>
  </si>
  <si>
    <t>CUST0031</t>
  </si>
  <si>
    <t>CUST0182</t>
  </si>
  <si>
    <t>CUST0156</t>
  </si>
  <si>
    <t>CUST0181</t>
  </si>
  <si>
    <t>CUST0114</t>
  </si>
  <si>
    <t>CUST0139</t>
  </si>
  <si>
    <t>CUST0195</t>
  </si>
  <si>
    <t>CUST0059</t>
  </si>
  <si>
    <t>CUST0008</t>
  </si>
  <si>
    <t>CUST0090</t>
  </si>
  <si>
    <t>CUST0017</t>
  </si>
  <si>
    <t>CUST0013</t>
  </si>
  <si>
    <t>CUST0120</t>
  </si>
  <si>
    <t>CUST0143</t>
  </si>
  <si>
    <t>CUST0137</t>
  </si>
  <si>
    <t>CUST0086</t>
  </si>
  <si>
    <t>CUST0016</t>
  </si>
  <si>
    <t>CUST0087</t>
  </si>
  <si>
    <t>CUST0099</t>
  </si>
  <si>
    <t>CUST0006</t>
  </si>
  <si>
    <t>CUST0176</t>
  </si>
  <si>
    <t>CUST0161</t>
  </si>
  <si>
    <t>CUST0097</t>
  </si>
  <si>
    <t>CUST0004</t>
  </si>
  <si>
    <t>CUST0159</t>
  </si>
  <si>
    <t>CUST0079</t>
  </si>
  <si>
    <t>CUST0193</t>
  </si>
  <si>
    <t>CUST0121</t>
  </si>
  <si>
    <t>CUST0166</t>
  </si>
  <si>
    <t>CUST0084</t>
  </si>
  <si>
    <t>CUST0186</t>
  </si>
  <si>
    <t>CUST0096</t>
  </si>
  <si>
    <t>CUST0106</t>
  </si>
  <si>
    <t>CUST0032</t>
  </si>
  <si>
    <t>CUST0108</t>
  </si>
  <si>
    <t>CUST0066</t>
  </si>
  <si>
    <t>CUST0094</t>
  </si>
  <si>
    <t>CUST0144</t>
  </si>
  <si>
    <t>CUST0184</t>
  </si>
  <si>
    <t>CUST0171</t>
  </si>
  <si>
    <t>CUST0175</t>
  </si>
  <si>
    <t>CUST0198</t>
  </si>
  <si>
    <t>CUST0127</t>
  </si>
  <si>
    <t>CUST0021</t>
  </si>
  <si>
    <t>CUST0035</t>
  </si>
  <si>
    <t>CUST0085</t>
  </si>
  <si>
    <t>CUST0014</t>
  </si>
  <si>
    <t>CUST0151</t>
  </si>
  <si>
    <t>CUST0033</t>
  </si>
  <si>
    <t>CUST0089</t>
  </si>
  <si>
    <t>CUST0180</t>
  </si>
  <si>
    <t>CUST0042</t>
  </si>
  <si>
    <t>2025-10-27</t>
  </si>
  <si>
    <t>2025-10-01</t>
  </si>
  <si>
    <t>2025-07-11</t>
  </si>
  <si>
    <t>2025-06-30</t>
  </si>
  <si>
    <t>2025-07-26</t>
  </si>
  <si>
    <t>2025-08-09</t>
  </si>
  <si>
    <t>2025-10-21</t>
  </si>
  <si>
    <t>2025-07-15</t>
  </si>
  <si>
    <t>2025-09-28</t>
  </si>
  <si>
    <t>2025-11-07</t>
  </si>
  <si>
    <t>2025-11-17</t>
  </si>
  <si>
    <t>2025-09-17</t>
  </si>
  <si>
    <t>2025-10-24</t>
  </si>
  <si>
    <t>2025-10-03</t>
  </si>
  <si>
    <t>2025-08-03</t>
  </si>
  <si>
    <t>2025-11-20</t>
  </si>
  <si>
    <t>2025-07-22</t>
  </si>
  <si>
    <t>2025-10-28</t>
  </si>
  <si>
    <t>2025-05-31</t>
  </si>
  <si>
    <t>2025-07-20</t>
  </si>
  <si>
    <t>2025-09-21</t>
  </si>
  <si>
    <t>2025-07-30</t>
  </si>
  <si>
    <t>2025-08-04</t>
  </si>
  <si>
    <t>2025-11-25</t>
  </si>
  <si>
    <t>2025-10-06</t>
  </si>
  <si>
    <t>2025-06-15</t>
  </si>
  <si>
    <t>2025-09-29</t>
  </si>
  <si>
    <t>2025-08-18</t>
  </si>
  <si>
    <t>2025-10-23</t>
  </si>
  <si>
    <t>2025-08-25</t>
  </si>
  <si>
    <t>2025-09-15</t>
  </si>
  <si>
    <t>2025-08-24</t>
  </si>
  <si>
    <t>2025-10-20</t>
  </si>
  <si>
    <t>2025-08-10</t>
  </si>
  <si>
    <t>2025-11-12</t>
  </si>
  <si>
    <t>2025-08-29</t>
  </si>
  <si>
    <t>2025-06-22</t>
  </si>
  <si>
    <t>2025-10-25</t>
  </si>
  <si>
    <t>2025-10-18</t>
  </si>
  <si>
    <t>2025-11-04</t>
  </si>
  <si>
    <t>2025-08-12</t>
  </si>
  <si>
    <t>2025-10-02</t>
  </si>
  <si>
    <t>2025-06-26</t>
  </si>
  <si>
    <t>2025-07-03</t>
  </si>
  <si>
    <t>2025-07-09</t>
  </si>
  <si>
    <t>2025-06-02</t>
  </si>
  <si>
    <t>2025-10-31</t>
  </si>
  <si>
    <t>2025-10-30</t>
  </si>
  <si>
    <t>2025-09-27</t>
  </si>
  <si>
    <t>2025-07-02</t>
  </si>
  <si>
    <t>2025-10-22</t>
  </si>
  <si>
    <t>2025-07-14</t>
  </si>
  <si>
    <t>2025-08-21</t>
  </si>
  <si>
    <t>2025-06-03</t>
  </si>
  <si>
    <t>2025-10-19</t>
  </si>
  <si>
    <t>2025-06-21</t>
  </si>
  <si>
    <t>2025-07-25</t>
  </si>
  <si>
    <t>2025-09-20</t>
  </si>
  <si>
    <t>2025-09-08</t>
  </si>
  <si>
    <t>2025-08-13</t>
  </si>
  <si>
    <t>2025-07-18</t>
  </si>
  <si>
    <t>2025-11-16</t>
  </si>
  <si>
    <t>2025-06-14</t>
  </si>
  <si>
    <t>2025-09-06</t>
  </si>
  <si>
    <t>2025-08-05</t>
  </si>
  <si>
    <t>2025-06-05</t>
  </si>
  <si>
    <t>2025-10-16</t>
  </si>
  <si>
    <t>2025-06-24</t>
  </si>
  <si>
    <t>2025-07-06</t>
  </si>
  <si>
    <t>2025-11-05</t>
  </si>
  <si>
    <t>2025-07-07</t>
  </si>
  <si>
    <t>2025-11-19</t>
  </si>
  <si>
    <t>2025-06-19</t>
  </si>
  <si>
    <t>2025-08-06</t>
  </si>
  <si>
    <t>2025-07-05</t>
  </si>
  <si>
    <t>2025-07-12</t>
  </si>
  <si>
    <t>2025-09-02</t>
  </si>
  <si>
    <t>2025-09-11</t>
  </si>
  <si>
    <t>2025-09-30</t>
  </si>
  <si>
    <t>2025-08-16</t>
  </si>
  <si>
    <t>2025-06-20</t>
  </si>
  <si>
    <t>2025-07-31</t>
  </si>
  <si>
    <t>2025-08-17</t>
  </si>
  <si>
    <t>2025-06-16</t>
  </si>
  <si>
    <t>2025-06-13</t>
  </si>
  <si>
    <t>2025-09-18</t>
  </si>
  <si>
    <t>2025-10-09</t>
  </si>
  <si>
    <t>2025-07-29</t>
  </si>
  <si>
    <t>2025-09-19</t>
  </si>
  <si>
    <t>2025-09-16</t>
  </si>
  <si>
    <t>2025-06-17</t>
  </si>
  <si>
    <t>2025-09-23</t>
  </si>
  <si>
    <t>2025-10-17</t>
  </si>
  <si>
    <t>2025-07-01</t>
  </si>
  <si>
    <t>2025-10-08</t>
  </si>
  <si>
    <t>2025-08-26</t>
  </si>
  <si>
    <t>2025-08-27</t>
  </si>
  <si>
    <t>2025-06-04</t>
  </si>
  <si>
    <t>2025-11-09</t>
  </si>
  <si>
    <t>2025-08-14</t>
  </si>
  <si>
    <t>2025-07-17</t>
  </si>
  <si>
    <t>2025-08-19</t>
  </si>
  <si>
    <t>2025-10-11</t>
  </si>
  <si>
    <t>2025-11-22</t>
  </si>
  <si>
    <t>2025-08-22</t>
  </si>
  <si>
    <t>2025-06-09</t>
  </si>
  <si>
    <t>2025-07-24</t>
  </si>
  <si>
    <t>2025-08-02</t>
  </si>
  <si>
    <t>2025-06-11</t>
  </si>
  <si>
    <t>2025-11-08</t>
  </si>
  <si>
    <t>2025-09-09</t>
  </si>
  <si>
    <t>2025-11-01</t>
  </si>
  <si>
    <t>2025-06-10</t>
  </si>
  <si>
    <t>2025-11-21</t>
  </si>
  <si>
    <t>2025-11-06</t>
  </si>
  <si>
    <t>2025-08-15</t>
  </si>
  <si>
    <t>2025-09-14</t>
  </si>
  <si>
    <t>2025-07-10</t>
  </si>
  <si>
    <t>2025-06-07</t>
  </si>
  <si>
    <t>2025-08-30</t>
  </si>
  <si>
    <t>2025-06-28</t>
  </si>
  <si>
    <t>2025-08-23</t>
  </si>
  <si>
    <t>2025-09-13</t>
  </si>
  <si>
    <t>2025-06-18</t>
  </si>
  <si>
    <t>2025-10-05</t>
  </si>
  <si>
    <t>2025-10-14</t>
  </si>
  <si>
    <t>2025-10-10</t>
  </si>
  <si>
    <t>2025-11-15</t>
  </si>
  <si>
    <t>2025-10-13</t>
  </si>
  <si>
    <t>2025-08-11</t>
  </si>
  <si>
    <t>2025-11-23</t>
  </si>
  <si>
    <t>2025-08-31</t>
  </si>
  <si>
    <t>2025-11-24</t>
  </si>
  <si>
    <t>2025-09-04</t>
  </si>
  <si>
    <t>2025-06-01</t>
  </si>
  <si>
    <t>2025-06-08</t>
  </si>
  <si>
    <t>2025-09-26</t>
  </si>
  <si>
    <t>2025-06-29</t>
  </si>
  <si>
    <t>2025-11-11</t>
  </si>
  <si>
    <t>2025-06-25</t>
  </si>
  <si>
    <t>2025-11-14</t>
  </si>
  <si>
    <t>2025-10-12</t>
  </si>
  <si>
    <t>2025-07-04</t>
  </si>
  <si>
    <t>2025-07-23</t>
  </si>
  <si>
    <t>2025-09-10</t>
  </si>
  <si>
    <t>2025-11-13</t>
  </si>
  <si>
    <t>2025-08-28</t>
  </si>
  <si>
    <t>2025-09-07</t>
  </si>
  <si>
    <t>2025-06-06</t>
  </si>
  <si>
    <t>2025-09-22</t>
  </si>
  <si>
    <t>2025-07-08</t>
  </si>
  <si>
    <t>2025-08-07</t>
  </si>
  <si>
    <t>2025-11-18</t>
  </si>
  <si>
    <t>2025-06-27</t>
  </si>
  <si>
    <t>2025-10-29</t>
  </si>
  <si>
    <t>2025-08-01</t>
  </si>
  <si>
    <t>2025-09-12</t>
  </si>
  <si>
    <t>2025-06-12</t>
  </si>
  <si>
    <t>2025-07-28</t>
  </si>
  <si>
    <t>2025-10-15</t>
  </si>
  <si>
    <t>2025-09-05</t>
  </si>
  <si>
    <t>2025-06-23</t>
  </si>
  <si>
    <t>2025-08-20</t>
  </si>
  <si>
    <t>2025-11-03</t>
  </si>
  <si>
    <t>2025-11-26</t>
  </si>
  <si>
    <t>2025-07-13</t>
  </si>
  <si>
    <t>2025-10-26</t>
  </si>
  <si>
    <t>2025-07-16</t>
  </si>
  <si>
    <t>2025-09-03</t>
  </si>
  <si>
    <t>2025-07-27</t>
  </si>
  <si>
    <t>2025-10-07</t>
  </si>
  <si>
    <t>2025-07-19</t>
  </si>
  <si>
    <t>2025-07-21</t>
  </si>
  <si>
    <t>2025-09-01</t>
  </si>
  <si>
    <t>2025-11-10</t>
  </si>
  <si>
    <t>2025-11-02</t>
  </si>
  <si>
    <t>2025-09-24</t>
  </si>
  <si>
    <t>2025-09-25</t>
  </si>
  <si>
    <t>2025-08-08</t>
  </si>
  <si>
    <t>2025-10-04</t>
  </si>
  <si>
    <t>2025-05-30</t>
  </si>
  <si>
    <t>Furniture</t>
  </si>
  <si>
    <t>Sports</t>
  </si>
  <si>
    <t>Beauty</t>
  </si>
  <si>
    <t>Groceries</t>
  </si>
  <si>
    <t>Electronics</t>
  </si>
  <si>
    <t>Clothing</t>
  </si>
  <si>
    <t>Delhi</t>
  </si>
  <si>
    <t>Chennai</t>
  </si>
  <si>
    <t>Hyderabad</t>
  </si>
  <si>
    <t>Bangalore</t>
  </si>
  <si>
    <t>Mumbai</t>
  </si>
  <si>
    <t>Offline</t>
  </si>
  <si>
    <t>Online</t>
  </si>
  <si>
    <t>36-45</t>
  </si>
  <si>
    <t>26-35</t>
  </si>
  <si>
    <t>18-25</t>
  </si>
  <si>
    <t>46-55</t>
  </si>
  <si>
    <t>55+</t>
  </si>
  <si>
    <t>Male</t>
  </si>
  <si>
    <t>Female</t>
  </si>
  <si>
    <t>2025-04-11</t>
  </si>
  <si>
    <t>2025-05-11</t>
  </si>
  <si>
    <t>2025-01-28</t>
  </si>
  <si>
    <t>2025-04-07</t>
  </si>
  <si>
    <t>2025-02-26</t>
  </si>
  <si>
    <t>2025-05-01</t>
  </si>
  <si>
    <t>2025-04-17</t>
  </si>
  <si>
    <t>2024-12-28</t>
  </si>
  <si>
    <t>2025-04-05</t>
  </si>
  <si>
    <t>2025-04-27</t>
  </si>
  <si>
    <t>2025-05-06</t>
  </si>
  <si>
    <t>2025-03-17</t>
  </si>
  <si>
    <t>2025-02-08</t>
  </si>
  <si>
    <t>2025-04-18</t>
  </si>
  <si>
    <t>2024-11-25</t>
  </si>
  <si>
    <t>2025-02-11</t>
  </si>
  <si>
    <t>2025-03-14</t>
  </si>
  <si>
    <t>2025-02-10</t>
  </si>
  <si>
    <t>2025-05-24</t>
  </si>
  <si>
    <t>2025-05-08</t>
  </si>
  <si>
    <t>2025-04-09</t>
  </si>
  <si>
    <t>2025-02-14</t>
  </si>
  <si>
    <t>2025-03-26</t>
  </si>
  <si>
    <t>2025-02-19</t>
  </si>
  <si>
    <t>2025-05-28</t>
  </si>
  <si>
    <t>2025-05-29</t>
  </si>
  <si>
    <t>2025-05-09</t>
  </si>
  <si>
    <t>2024-12-05</t>
  </si>
  <si>
    <t>2025-03-12</t>
  </si>
  <si>
    <t>2025-04-21</t>
  </si>
  <si>
    <t>2025-03-02</t>
  </si>
  <si>
    <t>2024-12-17</t>
  </si>
  <si>
    <t>2025-01-17</t>
  </si>
  <si>
    <t>2025-05-26</t>
  </si>
  <si>
    <t>2025-05-20</t>
  </si>
  <si>
    <t>2025-05-15</t>
  </si>
  <si>
    <t>2025-04-23</t>
  </si>
  <si>
    <t>2025-01-15</t>
  </si>
  <si>
    <t>2025-02-20</t>
  </si>
  <si>
    <t>2025-04-06</t>
  </si>
  <si>
    <t>2024-12-18</t>
  </si>
  <si>
    <t>2025-01-14</t>
  </si>
  <si>
    <t>2025-03-05</t>
  </si>
  <si>
    <t>2025-04-29</t>
  </si>
  <si>
    <t>2025-05-19</t>
  </si>
  <si>
    <t>2025-02-03</t>
  </si>
  <si>
    <t>2025-05-12</t>
  </si>
  <si>
    <t>2025-02-23</t>
  </si>
  <si>
    <t>2024-12-08</t>
  </si>
  <si>
    <t>2025-03-21</t>
  </si>
  <si>
    <t>2025-05-05</t>
  </si>
  <si>
    <t>2024-12-13</t>
  </si>
  <si>
    <t>2025-05-25</t>
  </si>
  <si>
    <t>2025-04-26</t>
  </si>
  <si>
    <t>2025-05-22</t>
  </si>
  <si>
    <t>2024-11-30</t>
  </si>
  <si>
    <t>2025-04-15</t>
  </si>
  <si>
    <t>2025-04-12</t>
  </si>
  <si>
    <t>2025-05-03</t>
  </si>
  <si>
    <t>2025-02-18</t>
  </si>
  <si>
    <t>2025-03-15</t>
  </si>
  <si>
    <t>2024-12-30</t>
  </si>
  <si>
    <t>2024-11-17</t>
  </si>
  <si>
    <t>2025-04-14</t>
  </si>
  <si>
    <t>2025-05-10</t>
  </si>
  <si>
    <t>2025-01-22</t>
  </si>
  <si>
    <t>2025-05-13</t>
  </si>
  <si>
    <t>2025-03-29</t>
  </si>
  <si>
    <t>2025-04-24</t>
  </si>
  <si>
    <t>2025-03-25</t>
  </si>
  <si>
    <t>2025-02-13</t>
  </si>
  <si>
    <t>2025-03-10</t>
  </si>
  <si>
    <t>2024-12-03</t>
  </si>
  <si>
    <t>2025-05-04</t>
  </si>
  <si>
    <t>2025-04-25</t>
  </si>
  <si>
    <t>2025-05-17</t>
  </si>
  <si>
    <t>2025-04-28</t>
  </si>
  <si>
    <t>2025-02-12</t>
  </si>
  <si>
    <t>2025-04-04</t>
  </si>
  <si>
    <t>2025-05-14</t>
  </si>
  <si>
    <t>2025-03-09</t>
  </si>
  <si>
    <t>2025-02-06</t>
  </si>
  <si>
    <t>2025-02-02</t>
  </si>
  <si>
    <t>2024-12-11</t>
  </si>
  <si>
    <t>2025-01-18</t>
  </si>
  <si>
    <t>2025-04-08</t>
  </si>
  <si>
    <t>2025-01-05</t>
  </si>
  <si>
    <t>2024-12-26</t>
  </si>
  <si>
    <t>2025-05-07</t>
  </si>
  <si>
    <t>2025-04-20</t>
  </si>
  <si>
    <t>2025-03-16</t>
  </si>
  <si>
    <t>2025-03-08</t>
  </si>
  <si>
    <t>2025-02-05</t>
  </si>
  <si>
    <t>2025-01-31</t>
  </si>
  <si>
    <t>2025-03-01</t>
  </si>
  <si>
    <t>2024-12-29</t>
  </si>
  <si>
    <t>2025-05-23</t>
  </si>
  <si>
    <t>2024-12-24</t>
  </si>
  <si>
    <t>2025-02-16</t>
  </si>
  <si>
    <t>2025-01-16</t>
  </si>
  <si>
    <t>2025-01-01</t>
  </si>
  <si>
    <t>2025-01-10</t>
  </si>
  <si>
    <t>2025-03-20</t>
  </si>
  <si>
    <t>2025-05-21</t>
  </si>
  <si>
    <t>2025-04-10</t>
  </si>
  <si>
    <t>2025-04-02</t>
  </si>
  <si>
    <t>2025-03-31</t>
  </si>
  <si>
    <t>2025-02-09</t>
  </si>
  <si>
    <t>2025-02-07</t>
  </si>
  <si>
    <t>2025-02-01</t>
  </si>
  <si>
    <t>2025-03-06</t>
  </si>
  <si>
    <t>2025-04-03</t>
  </si>
  <si>
    <t>2025-03-24</t>
  </si>
  <si>
    <t>2025-03-27</t>
  </si>
  <si>
    <t>2025-02-17</t>
  </si>
  <si>
    <t>2025-05-18</t>
  </si>
  <si>
    <t>2025-02-27</t>
  </si>
  <si>
    <t>2025-03-18</t>
  </si>
  <si>
    <t>2025-01-11</t>
  </si>
  <si>
    <t>2025-01-27</t>
  </si>
  <si>
    <t>2025-04-30</t>
  </si>
  <si>
    <t>2025-02-04</t>
  </si>
  <si>
    <t>2025-03-11</t>
  </si>
  <si>
    <t>2025-04-13</t>
  </si>
  <si>
    <t>2025-01-23</t>
  </si>
  <si>
    <t>2024-12-23</t>
  </si>
  <si>
    <t>2025-01-25</t>
  </si>
  <si>
    <t>2025-03-23</t>
  </si>
  <si>
    <t>2025-01-03</t>
  </si>
  <si>
    <t>2024-12-19</t>
  </si>
  <si>
    <t>2025-01-19</t>
  </si>
  <si>
    <t>2025-01-02</t>
  </si>
  <si>
    <t>2024-11-21</t>
  </si>
  <si>
    <t>2025-02-21</t>
  </si>
  <si>
    <t>2025-01-24</t>
  </si>
  <si>
    <t>2025-04-01</t>
  </si>
  <si>
    <t>2025-02-24</t>
  </si>
  <si>
    <t>2025-01-20</t>
  </si>
  <si>
    <t>2024-12-04</t>
  </si>
  <si>
    <t>2025-04-22</t>
  </si>
  <si>
    <t>2025-03-13</t>
  </si>
  <si>
    <t>2025-01-30</t>
  </si>
  <si>
    <t>2024-12-06</t>
  </si>
  <si>
    <t>2024-12-20</t>
  </si>
  <si>
    <t>2024-11-23</t>
  </si>
  <si>
    <t>2025-02-28</t>
  </si>
  <si>
    <t>2025-01-08</t>
  </si>
  <si>
    <t>2025-05-16</t>
  </si>
  <si>
    <t>2025-03-04</t>
  </si>
  <si>
    <t>2025-02-22</t>
  </si>
  <si>
    <t>2024-11-29</t>
  </si>
  <si>
    <t>2024-12-12</t>
  </si>
  <si>
    <t>2024-12-25</t>
  </si>
  <si>
    <t>2025-03-19</t>
  </si>
  <si>
    <t>2025-03-22</t>
  </si>
  <si>
    <t>2025-02-25</t>
  </si>
  <si>
    <t>2025-05-27</t>
  </si>
  <si>
    <t>2024-11-26</t>
  </si>
  <si>
    <t>2025-01-13</t>
  </si>
  <si>
    <t>2025-04-16</t>
  </si>
  <si>
    <t>2025-01-21</t>
  </si>
  <si>
    <t>2024-12-14</t>
  </si>
  <si>
    <t>2025-05-02</t>
  </si>
  <si>
    <t>2024-12-21</t>
  </si>
  <si>
    <t>2025-03-30</t>
  </si>
  <si>
    <t>2025-01-26</t>
  </si>
  <si>
    <t>2025-03-03</t>
  </si>
  <si>
    <t>2024-11-28</t>
  </si>
  <si>
    <t>2025-02-15</t>
  </si>
  <si>
    <t>2024-12-27</t>
  </si>
  <si>
    <t>2025-04-19</t>
  </si>
  <si>
    <t>Returning</t>
  </si>
  <si>
    <t>New</t>
  </si>
  <si>
    <t>customerid</t>
  </si>
  <si>
    <t>recency</t>
  </si>
  <si>
    <t>frequency</t>
  </si>
  <si>
    <t>monetory</t>
  </si>
  <si>
    <t>R_Score</t>
  </si>
  <si>
    <t>F_Score</t>
  </si>
  <si>
    <t>M_Score</t>
  </si>
  <si>
    <t>loyal customers</t>
  </si>
  <si>
    <t>potential loyalists</t>
  </si>
  <si>
    <t>new customers</t>
  </si>
  <si>
    <t>at risk</t>
  </si>
  <si>
    <t>Can't lose</t>
  </si>
  <si>
    <t>others</t>
  </si>
  <si>
    <t>RFM Score</t>
  </si>
  <si>
    <t>Segment</t>
  </si>
  <si>
    <t>Champions</t>
  </si>
  <si>
    <t>retention rate analysis</t>
  </si>
  <si>
    <t>total unique customers</t>
  </si>
  <si>
    <t>returning customers</t>
  </si>
  <si>
    <t>retention rate</t>
  </si>
  <si>
    <t xml:space="preserve">CUSTOMER SEGMENTS </t>
  </si>
  <si>
    <t>Row Labels</t>
  </si>
  <si>
    <t>At Risk</t>
  </si>
  <si>
    <t>Loyal Customers</t>
  </si>
  <si>
    <t>New Customers</t>
  </si>
  <si>
    <t>Others</t>
  </si>
  <si>
    <t>Potential Loyalists</t>
  </si>
  <si>
    <t>Grand Total</t>
  </si>
  <si>
    <t>Count of customerid</t>
  </si>
  <si>
    <t xml:space="preserve">SEGMENT WISE MONEY DISTRIBUTION </t>
  </si>
  <si>
    <t>Sum of monetory</t>
  </si>
  <si>
    <t>SCATTER PLOT</t>
  </si>
  <si>
    <t>2025 jan</t>
  </si>
  <si>
    <t>RETENTION RATE= 75.87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</si>
</sst>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rgb="FFF9FAFB"/>
      <name val="Consolas"/>
      <family val="3"/>
    </font>
    <font>
      <sz val="20"/>
      <color theme="8" tint="-0.249977111117893"/>
      <name val="Calibri"/>
      <family val="2"/>
      <scheme val="minor"/>
    </font>
    <font>
      <sz val="20"/>
      <color theme="9" tint="0.39997558519241921"/>
      <name val="Calibri"/>
      <family val="2"/>
      <scheme val="minor"/>
    </font>
    <font>
      <sz val="26"/>
      <color theme="7" tint="-0.249977111117893"/>
      <name val="Calibri"/>
      <family val="2"/>
      <scheme val="minor"/>
    </font>
    <font>
      <sz val="4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3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4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5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6" fillId="7" borderId="0" xfId="0" applyFont="1" applyFill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[customer_transactions_6months.xlsx]Segment analysis!PivotTable3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'Segment analysis'!$C$22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'Segment analysis'!$B$23:$B$29</c:f>
              <c:strCache>
                <c:ptCount val="6"/>
                <c:pt idx="0">
                  <c:v>At Risk</c:v>
                </c:pt>
                <c:pt idx="1">
                  <c:v>Champions</c:v>
                </c:pt>
                <c:pt idx="2">
                  <c:v>Loyal Customers</c:v>
                </c:pt>
                <c:pt idx="3">
                  <c:v>New Customers</c:v>
                </c:pt>
                <c:pt idx="4">
                  <c:v>Others</c:v>
                </c:pt>
                <c:pt idx="5">
                  <c:v>Potential Loyalists</c:v>
                </c:pt>
              </c:strCache>
            </c:strRef>
          </c:cat>
          <c:val>
            <c:numRef>
              <c:f>'Segment analysis'!$C$23:$C$29</c:f>
              <c:numCache>
                <c:formatCode>General</c:formatCode>
                <c:ptCount val="6"/>
                <c:pt idx="0">
                  <c:v>60</c:v>
                </c:pt>
                <c:pt idx="1">
                  <c:v>5</c:v>
                </c:pt>
                <c:pt idx="2">
                  <c:v>12</c:v>
                </c:pt>
                <c:pt idx="3">
                  <c:v>49</c:v>
                </c:pt>
                <c:pt idx="4">
                  <c:v>21</c:v>
                </c:pt>
                <c:pt idx="5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EC-4C29-A7EE-6387B5E319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[customer_transactions_6months.xlsx]Segment analysis!PivotTable4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'Segment analysis'!$C$40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'Segment analysis'!$B$41:$B$47</c:f>
              <c:strCache>
                <c:ptCount val="6"/>
                <c:pt idx="0">
                  <c:v>At Risk</c:v>
                </c:pt>
                <c:pt idx="1">
                  <c:v>Champions</c:v>
                </c:pt>
                <c:pt idx="2">
                  <c:v>Loyal Customers</c:v>
                </c:pt>
                <c:pt idx="3">
                  <c:v>New Customers</c:v>
                </c:pt>
                <c:pt idx="4">
                  <c:v>Others</c:v>
                </c:pt>
                <c:pt idx="5">
                  <c:v>Potential Loyalists</c:v>
                </c:pt>
              </c:strCache>
            </c:strRef>
          </c:cat>
          <c:val>
            <c:numRef>
              <c:f>'Segment analysis'!$C$41:$C$47</c:f>
              <c:numCache>
                <c:formatCode>General</c:formatCode>
                <c:ptCount val="6"/>
                <c:pt idx="0">
                  <c:v>504887.44999999972</c:v>
                </c:pt>
                <c:pt idx="1">
                  <c:v>108870.54000000001</c:v>
                </c:pt>
                <c:pt idx="2">
                  <c:v>171560.8</c:v>
                </c:pt>
                <c:pt idx="3">
                  <c:v>979029.12999999989</c:v>
                </c:pt>
                <c:pt idx="4">
                  <c:v>184070.67000000004</c:v>
                </c:pt>
                <c:pt idx="5">
                  <c:v>589492.67000000004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64-4342-BDFA-D65732778D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2288752"/>
        <c:axId val="862289232"/>
      </c:barChart>
      <c:catAx>
        <c:axId val="86228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289232"/>
        <c:crosses val="autoZero"/>
        <c:auto val="1"/>
        <c:lblAlgn val="ctr"/>
        <c:lblOffset val="100"/>
        <c:noMultiLvlLbl val="0"/>
      </c:catAx>
      <c:valAx>
        <c:axId val="862289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288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RECENCY</a:t>
            </a:r>
            <a:r>
              <a:rPr lang="en-GB" baseline="0"/>
              <a:t> VS MONETORY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monetory vs recency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Customer_RFM!$B$1:$B$200</c:f>
              <c:strCache>
                <c:ptCount val="200"/>
                <c:pt idx="0">
                  <c:v>recency</c:v>
                </c:pt>
                <c:pt idx="1">
                  <c:v>3</c:v>
                </c:pt>
                <c:pt idx="2">
                  <c:v>10</c:v>
                </c:pt>
                <c:pt idx="3">
                  <c:v>3</c:v>
                </c:pt>
                <c:pt idx="4">
                  <c:v>22</c:v>
                </c:pt>
                <c:pt idx="5">
                  <c:v>25</c:v>
                </c:pt>
                <c:pt idx="6">
                  <c:v>23</c:v>
                </c:pt>
                <c:pt idx="7">
                  <c:v>22</c:v>
                </c:pt>
                <c:pt idx="8">
                  <c:v>10</c:v>
                </c:pt>
                <c:pt idx="9">
                  <c:v>12</c:v>
                </c:pt>
                <c:pt idx="10">
                  <c:v>20</c:v>
                </c:pt>
                <c:pt idx="11">
                  <c:v>13</c:v>
                </c:pt>
                <c:pt idx="12">
                  <c:v>15</c:v>
                </c:pt>
                <c:pt idx="13">
                  <c:v>20</c:v>
                </c:pt>
                <c:pt idx="14">
                  <c:v>6</c:v>
                </c:pt>
                <c:pt idx="15">
                  <c:v>12</c:v>
                </c:pt>
                <c:pt idx="16">
                  <c:v>3</c:v>
                </c:pt>
                <c:pt idx="17">
                  <c:v>22</c:v>
                </c:pt>
                <c:pt idx="18">
                  <c:v>17</c:v>
                </c:pt>
                <c:pt idx="19">
                  <c:v>15</c:v>
                </c:pt>
                <c:pt idx="20">
                  <c:v>35</c:v>
                </c:pt>
                <c:pt idx="21">
                  <c:v>20</c:v>
                </c:pt>
                <c:pt idx="22">
                  <c:v>13</c:v>
                </c:pt>
                <c:pt idx="23">
                  <c:v>1</c:v>
                </c:pt>
                <c:pt idx="24">
                  <c:v>26</c:v>
                </c:pt>
                <c:pt idx="25">
                  <c:v>21</c:v>
                </c:pt>
                <c:pt idx="26">
                  <c:v>43</c:v>
                </c:pt>
                <c:pt idx="27">
                  <c:v>18</c:v>
                </c:pt>
                <c:pt idx="28">
                  <c:v>44</c:v>
                </c:pt>
                <c:pt idx="29">
                  <c:v>39</c:v>
                </c:pt>
                <c:pt idx="30">
                  <c:v>31</c:v>
                </c:pt>
                <c:pt idx="31">
                  <c:v>42</c:v>
                </c:pt>
                <c:pt idx="32">
                  <c:v>27</c:v>
                </c:pt>
                <c:pt idx="33">
                  <c:v>27</c:v>
                </c:pt>
                <c:pt idx="34">
                  <c:v>21</c:v>
                </c:pt>
                <c:pt idx="35">
                  <c:v>49</c:v>
                </c:pt>
                <c:pt idx="36">
                  <c:v>22</c:v>
                </c:pt>
                <c:pt idx="37">
                  <c:v>43</c:v>
                </c:pt>
                <c:pt idx="38">
                  <c:v>4</c:v>
                </c:pt>
                <c:pt idx="39">
                  <c:v>46</c:v>
                </c:pt>
                <c:pt idx="40">
                  <c:v>5</c:v>
                </c:pt>
                <c:pt idx="41">
                  <c:v>18</c:v>
                </c:pt>
                <c:pt idx="42">
                  <c:v>31</c:v>
                </c:pt>
                <c:pt idx="43">
                  <c:v>43</c:v>
                </c:pt>
                <c:pt idx="44">
                  <c:v>38</c:v>
                </c:pt>
                <c:pt idx="45">
                  <c:v>50</c:v>
                </c:pt>
                <c:pt idx="46">
                  <c:v>6</c:v>
                </c:pt>
                <c:pt idx="47">
                  <c:v>1</c:v>
                </c:pt>
                <c:pt idx="48">
                  <c:v>58</c:v>
                </c:pt>
                <c:pt idx="49">
                  <c:v>16</c:v>
                </c:pt>
                <c:pt idx="50">
                  <c:v>10</c:v>
                </c:pt>
                <c:pt idx="51">
                  <c:v>8</c:v>
                </c:pt>
                <c:pt idx="52">
                  <c:v>59</c:v>
                </c:pt>
                <c:pt idx="53">
                  <c:v>26</c:v>
                </c:pt>
                <c:pt idx="54">
                  <c:v>59</c:v>
                </c:pt>
                <c:pt idx="55">
                  <c:v>37</c:v>
                </c:pt>
                <c:pt idx="56">
                  <c:v>24</c:v>
                </c:pt>
                <c:pt idx="57">
                  <c:v>46</c:v>
                </c:pt>
                <c:pt idx="58">
                  <c:v>58</c:v>
                </c:pt>
                <c:pt idx="59">
                  <c:v>27</c:v>
                </c:pt>
                <c:pt idx="60">
                  <c:v>52</c:v>
                </c:pt>
                <c:pt idx="61">
                  <c:v>30</c:v>
                </c:pt>
                <c:pt idx="62">
                  <c:v>57</c:v>
                </c:pt>
                <c:pt idx="63">
                  <c:v>62</c:v>
                </c:pt>
                <c:pt idx="64">
                  <c:v>60</c:v>
                </c:pt>
                <c:pt idx="65">
                  <c:v>28</c:v>
                </c:pt>
                <c:pt idx="66">
                  <c:v>48</c:v>
                </c:pt>
                <c:pt idx="67">
                  <c:v>13</c:v>
                </c:pt>
                <c:pt idx="68">
                  <c:v>2</c:v>
                </c:pt>
                <c:pt idx="69">
                  <c:v>21</c:v>
                </c:pt>
                <c:pt idx="70">
                  <c:v>20</c:v>
                </c:pt>
                <c:pt idx="71">
                  <c:v>48</c:v>
                </c:pt>
                <c:pt idx="72">
                  <c:v>40</c:v>
                </c:pt>
                <c:pt idx="73">
                  <c:v>42</c:v>
                </c:pt>
                <c:pt idx="74">
                  <c:v>19</c:v>
                </c:pt>
                <c:pt idx="75">
                  <c:v>23</c:v>
                </c:pt>
                <c:pt idx="76">
                  <c:v>50</c:v>
                </c:pt>
                <c:pt idx="77">
                  <c:v>47</c:v>
                </c:pt>
                <c:pt idx="78">
                  <c:v>70</c:v>
                </c:pt>
                <c:pt idx="79">
                  <c:v>9</c:v>
                </c:pt>
                <c:pt idx="80">
                  <c:v>23</c:v>
                </c:pt>
                <c:pt idx="81">
                  <c:v>37</c:v>
                </c:pt>
                <c:pt idx="82">
                  <c:v>27</c:v>
                </c:pt>
                <c:pt idx="83">
                  <c:v>2</c:v>
                </c:pt>
                <c:pt idx="84">
                  <c:v>21</c:v>
                </c:pt>
                <c:pt idx="85">
                  <c:v>33</c:v>
                </c:pt>
                <c:pt idx="86">
                  <c:v>28</c:v>
                </c:pt>
                <c:pt idx="87">
                  <c:v>58</c:v>
                </c:pt>
                <c:pt idx="88">
                  <c:v>34</c:v>
                </c:pt>
                <c:pt idx="89">
                  <c:v>14</c:v>
                </c:pt>
                <c:pt idx="90">
                  <c:v>16</c:v>
                </c:pt>
                <c:pt idx="91">
                  <c:v>35</c:v>
                </c:pt>
                <c:pt idx="92">
                  <c:v>72</c:v>
                </c:pt>
                <c:pt idx="93">
                  <c:v>4</c:v>
                </c:pt>
                <c:pt idx="94">
                  <c:v>28</c:v>
                </c:pt>
                <c:pt idx="95">
                  <c:v>71</c:v>
                </c:pt>
                <c:pt idx="96">
                  <c:v>73</c:v>
                </c:pt>
                <c:pt idx="97">
                  <c:v>43</c:v>
                </c:pt>
                <c:pt idx="98">
                  <c:v>11</c:v>
                </c:pt>
                <c:pt idx="99">
                  <c:v>74</c:v>
                </c:pt>
                <c:pt idx="100">
                  <c:v>53</c:v>
                </c:pt>
                <c:pt idx="101">
                  <c:v>14</c:v>
                </c:pt>
                <c:pt idx="102">
                  <c:v>30</c:v>
                </c:pt>
                <c:pt idx="103">
                  <c:v>28</c:v>
                </c:pt>
                <c:pt idx="104">
                  <c:v>40</c:v>
                </c:pt>
                <c:pt idx="105">
                  <c:v>63</c:v>
                </c:pt>
                <c:pt idx="106">
                  <c:v>52</c:v>
                </c:pt>
                <c:pt idx="107">
                  <c:v>33</c:v>
                </c:pt>
                <c:pt idx="108">
                  <c:v>19</c:v>
                </c:pt>
                <c:pt idx="109">
                  <c:v>45</c:v>
                </c:pt>
                <c:pt idx="110">
                  <c:v>18</c:v>
                </c:pt>
                <c:pt idx="111">
                  <c:v>82</c:v>
                </c:pt>
                <c:pt idx="112">
                  <c:v>65</c:v>
                </c:pt>
                <c:pt idx="113">
                  <c:v>29</c:v>
                </c:pt>
                <c:pt idx="114">
                  <c:v>30</c:v>
                </c:pt>
                <c:pt idx="115">
                  <c:v>57</c:v>
                </c:pt>
                <c:pt idx="116">
                  <c:v>37</c:v>
                </c:pt>
                <c:pt idx="117">
                  <c:v>2</c:v>
                </c:pt>
                <c:pt idx="118">
                  <c:v>42</c:v>
                </c:pt>
                <c:pt idx="119">
                  <c:v>20</c:v>
                </c:pt>
                <c:pt idx="120">
                  <c:v>43</c:v>
                </c:pt>
                <c:pt idx="121">
                  <c:v>26</c:v>
                </c:pt>
                <c:pt idx="122">
                  <c:v>68</c:v>
                </c:pt>
                <c:pt idx="123">
                  <c:v>82</c:v>
                </c:pt>
                <c:pt idx="124">
                  <c:v>8</c:v>
                </c:pt>
                <c:pt idx="125">
                  <c:v>42</c:v>
                </c:pt>
                <c:pt idx="126">
                  <c:v>90</c:v>
                </c:pt>
                <c:pt idx="127">
                  <c:v>97</c:v>
                </c:pt>
                <c:pt idx="128">
                  <c:v>74</c:v>
                </c:pt>
                <c:pt idx="129">
                  <c:v>43</c:v>
                </c:pt>
                <c:pt idx="130">
                  <c:v>90</c:v>
                </c:pt>
                <c:pt idx="131">
                  <c:v>36</c:v>
                </c:pt>
                <c:pt idx="132">
                  <c:v>4</c:v>
                </c:pt>
                <c:pt idx="133">
                  <c:v>49</c:v>
                </c:pt>
                <c:pt idx="134">
                  <c:v>45</c:v>
                </c:pt>
                <c:pt idx="135">
                  <c:v>48</c:v>
                </c:pt>
                <c:pt idx="136">
                  <c:v>66</c:v>
                </c:pt>
                <c:pt idx="137">
                  <c:v>91</c:v>
                </c:pt>
                <c:pt idx="138">
                  <c:v>45</c:v>
                </c:pt>
                <c:pt idx="139">
                  <c:v>79</c:v>
                </c:pt>
                <c:pt idx="140">
                  <c:v>44</c:v>
                </c:pt>
                <c:pt idx="141">
                  <c:v>13</c:v>
                </c:pt>
                <c:pt idx="142">
                  <c:v>29</c:v>
                </c:pt>
                <c:pt idx="143">
                  <c:v>11</c:v>
                </c:pt>
                <c:pt idx="144">
                  <c:v>54</c:v>
                </c:pt>
                <c:pt idx="145">
                  <c:v>52</c:v>
                </c:pt>
                <c:pt idx="146">
                  <c:v>59</c:v>
                </c:pt>
                <c:pt idx="147">
                  <c:v>84</c:v>
                </c:pt>
                <c:pt idx="148">
                  <c:v>64</c:v>
                </c:pt>
                <c:pt idx="149">
                  <c:v>25</c:v>
                </c:pt>
                <c:pt idx="150">
                  <c:v>81</c:v>
                </c:pt>
                <c:pt idx="151">
                  <c:v>77</c:v>
                </c:pt>
                <c:pt idx="152">
                  <c:v>34</c:v>
                </c:pt>
                <c:pt idx="153">
                  <c:v>66</c:v>
                </c:pt>
                <c:pt idx="154">
                  <c:v>80</c:v>
                </c:pt>
                <c:pt idx="155">
                  <c:v>74</c:v>
                </c:pt>
                <c:pt idx="156">
                  <c:v>75</c:v>
                </c:pt>
                <c:pt idx="157">
                  <c:v>68</c:v>
                </c:pt>
                <c:pt idx="158">
                  <c:v>8</c:v>
                </c:pt>
                <c:pt idx="159">
                  <c:v>103</c:v>
                </c:pt>
                <c:pt idx="160">
                  <c:v>90</c:v>
                </c:pt>
                <c:pt idx="161">
                  <c:v>48</c:v>
                </c:pt>
                <c:pt idx="162">
                  <c:v>48</c:v>
                </c:pt>
                <c:pt idx="163">
                  <c:v>28</c:v>
                </c:pt>
                <c:pt idx="164">
                  <c:v>86</c:v>
                </c:pt>
                <c:pt idx="165">
                  <c:v>15</c:v>
                </c:pt>
                <c:pt idx="166">
                  <c:v>22</c:v>
                </c:pt>
                <c:pt idx="167">
                  <c:v>63</c:v>
                </c:pt>
                <c:pt idx="168">
                  <c:v>30</c:v>
                </c:pt>
                <c:pt idx="169">
                  <c:v>110</c:v>
                </c:pt>
                <c:pt idx="170">
                  <c:v>70</c:v>
                </c:pt>
                <c:pt idx="171">
                  <c:v>99</c:v>
                </c:pt>
                <c:pt idx="172">
                  <c:v>25</c:v>
                </c:pt>
                <c:pt idx="173">
                  <c:v>89</c:v>
                </c:pt>
                <c:pt idx="174">
                  <c:v>23</c:v>
                </c:pt>
                <c:pt idx="175">
                  <c:v>97</c:v>
                </c:pt>
                <c:pt idx="176">
                  <c:v>3</c:v>
                </c:pt>
                <c:pt idx="177">
                  <c:v>101</c:v>
                </c:pt>
                <c:pt idx="178">
                  <c:v>38</c:v>
                </c:pt>
                <c:pt idx="179">
                  <c:v>82</c:v>
                </c:pt>
                <c:pt idx="180">
                  <c:v>80</c:v>
                </c:pt>
                <c:pt idx="181">
                  <c:v>8</c:v>
                </c:pt>
                <c:pt idx="182">
                  <c:v>79</c:v>
                </c:pt>
                <c:pt idx="183">
                  <c:v>7</c:v>
                </c:pt>
                <c:pt idx="184">
                  <c:v>59</c:v>
                </c:pt>
                <c:pt idx="185">
                  <c:v>72</c:v>
                </c:pt>
                <c:pt idx="186">
                  <c:v>108</c:v>
                </c:pt>
                <c:pt idx="187">
                  <c:v>79</c:v>
                </c:pt>
                <c:pt idx="188">
                  <c:v>116</c:v>
                </c:pt>
                <c:pt idx="189">
                  <c:v>9</c:v>
                </c:pt>
                <c:pt idx="190">
                  <c:v>87</c:v>
                </c:pt>
                <c:pt idx="191">
                  <c:v>57</c:v>
                </c:pt>
                <c:pt idx="192">
                  <c:v>105</c:v>
                </c:pt>
                <c:pt idx="193">
                  <c:v>34</c:v>
                </c:pt>
                <c:pt idx="194">
                  <c:v>10</c:v>
                </c:pt>
                <c:pt idx="195">
                  <c:v>11</c:v>
                </c:pt>
                <c:pt idx="196">
                  <c:v>19</c:v>
                </c:pt>
                <c:pt idx="197">
                  <c:v>29</c:v>
                </c:pt>
                <c:pt idx="198">
                  <c:v>97</c:v>
                </c:pt>
                <c:pt idx="199">
                  <c:v>34</c:v>
                </c:pt>
              </c:strCache>
            </c:strRef>
          </c:xVal>
          <c:yVal>
            <c:numRef>
              <c:f>Customer_RFM!$D$1:$D$200</c:f>
              <c:numCache>
                <c:formatCode>_-[$$-409]* #,##0.00_ ;_-[$$-409]* \-#,##0.00\ ;_-[$$-409]* "-"??_ ;_-@_ </c:formatCode>
                <c:ptCount val="200"/>
                <c:pt idx="0">
                  <c:v>0</c:v>
                </c:pt>
                <c:pt idx="1">
                  <c:v>9241.01</c:v>
                </c:pt>
                <c:pt idx="2">
                  <c:v>16218.84</c:v>
                </c:pt>
                <c:pt idx="3">
                  <c:v>24755.529999999995</c:v>
                </c:pt>
                <c:pt idx="4">
                  <c:v>9619.4499999999989</c:v>
                </c:pt>
                <c:pt idx="5">
                  <c:v>19021.899999999998</c:v>
                </c:pt>
                <c:pt idx="6">
                  <c:v>22306.58</c:v>
                </c:pt>
                <c:pt idx="7">
                  <c:v>4046.4</c:v>
                </c:pt>
                <c:pt idx="8">
                  <c:v>11218.89</c:v>
                </c:pt>
                <c:pt idx="9">
                  <c:v>9473.6400000000012</c:v>
                </c:pt>
                <c:pt idx="10">
                  <c:v>26656.27</c:v>
                </c:pt>
                <c:pt idx="11">
                  <c:v>14973.86</c:v>
                </c:pt>
                <c:pt idx="12">
                  <c:v>17526</c:v>
                </c:pt>
                <c:pt idx="13">
                  <c:v>15878.810000000001</c:v>
                </c:pt>
                <c:pt idx="14">
                  <c:v>8928.58</c:v>
                </c:pt>
                <c:pt idx="15">
                  <c:v>15272.029999999999</c:v>
                </c:pt>
                <c:pt idx="16">
                  <c:v>12704.480000000001</c:v>
                </c:pt>
                <c:pt idx="17">
                  <c:v>28255.459999999995</c:v>
                </c:pt>
                <c:pt idx="18">
                  <c:v>18369.060000000001</c:v>
                </c:pt>
                <c:pt idx="19">
                  <c:v>15648.099999999999</c:v>
                </c:pt>
                <c:pt idx="20">
                  <c:v>31724.690000000002</c:v>
                </c:pt>
                <c:pt idx="21">
                  <c:v>10201.629999999999</c:v>
                </c:pt>
                <c:pt idx="22">
                  <c:v>4266.95</c:v>
                </c:pt>
                <c:pt idx="23">
                  <c:v>12465.169999999998</c:v>
                </c:pt>
                <c:pt idx="24">
                  <c:v>7388.67</c:v>
                </c:pt>
                <c:pt idx="25">
                  <c:v>16926.810000000001</c:v>
                </c:pt>
                <c:pt idx="26">
                  <c:v>14141.79</c:v>
                </c:pt>
                <c:pt idx="27">
                  <c:v>7850.420000000001</c:v>
                </c:pt>
                <c:pt idx="28">
                  <c:v>15367</c:v>
                </c:pt>
                <c:pt idx="29">
                  <c:v>13486.239999999998</c:v>
                </c:pt>
                <c:pt idx="30">
                  <c:v>14925.32</c:v>
                </c:pt>
                <c:pt idx="31">
                  <c:v>13434.000000000002</c:v>
                </c:pt>
                <c:pt idx="32">
                  <c:v>21433.210000000003</c:v>
                </c:pt>
                <c:pt idx="33">
                  <c:v>9976.5799999999981</c:v>
                </c:pt>
                <c:pt idx="34">
                  <c:v>7069.5499999999993</c:v>
                </c:pt>
                <c:pt idx="35">
                  <c:v>26031.879999999997</c:v>
                </c:pt>
                <c:pt idx="36">
                  <c:v>13867.54</c:v>
                </c:pt>
                <c:pt idx="37">
                  <c:v>10607.82</c:v>
                </c:pt>
                <c:pt idx="38">
                  <c:v>20797.71</c:v>
                </c:pt>
                <c:pt idx="39">
                  <c:v>3307.8999999999996</c:v>
                </c:pt>
                <c:pt idx="40">
                  <c:v>10536.55</c:v>
                </c:pt>
                <c:pt idx="41">
                  <c:v>8131.4800000000005</c:v>
                </c:pt>
                <c:pt idx="42">
                  <c:v>7683.09</c:v>
                </c:pt>
                <c:pt idx="43">
                  <c:v>7671.73</c:v>
                </c:pt>
                <c:pt idx="44">
                  <c:v>19213.210000000003</c:v>
                </c:pt>
                <c:pt idx="45">
                  <c:v>7521.6900000000005</c:v>
                </c:pt>
                <c:pt idx="46">
                  <c:v>16464.14</c:v>
                </c:pt>
                <c:pt idx="47">
                  <c:v>19479.400000000001</c:v>
                </c:pt>
                <c:pt idx="48">
                  <c:v>17738.21</c:v>
                </c:pt>
                <c:pt idx="49">
                  <c:v>7147.76</c:v>
                </c:pt>
                <c:pt idx="50">
                  <c:v>5896.25</c:v>
                </c:pt>
                <c:pt idx="51">
                  <c:v>16001.03</c:v>
                </c:pt>
                <c:pt idx="52">
                  <c:v>3902.7499999999995</c:v>
                </c:pt>
                <c:pt idx="53">
                  <c:v>14592.960000000001</c:v>
                </c:pt>
                <c:pt idx="54">
                  <c:v>22777.739999999998</c:v>
                </c:pt>
                <c:pt idx="55">
                  <c:v>16188.210000000001</c:v>
                </c:pt>
                <c:pt idx="56">
                  <c:v>19183.54</c:v>
                </c:pt>
                <c:pt idx="57">
                  <c:v>12798.16</c:v>
                </c:pt>
                <c:pt idx="58">
                  <c:v>16337.51</c:v>
                </c:pt>
                <c:pt idx="59">
                  <c:v>18073.73</c:v>
                </c:pt>
                <c:pt idx="60">
                  <c:v>11673.11</c:v>
                </c:pt>
                <c:pt idx="61">
                  <c:v>17886.640000000003</c:v>
                </c:pt>
                <c:pt idx="62">
                  <c:v>18005.170000000002</c:v>
                </c:pt>
                <c:pt idx="63">
                  <c:v>7849.11</c:v>
                </c:pt>
                <c:pt idx="64">
                  <c:v>26846.429999999997</c:v>
                </c:pt>
                <c:pt idx="65">
                  <c:v>19463.050000000003</c:v>
                </c:pt>
                <c:pt idx="66">
                  <c:v>12065.39</c:v>
                </c:pt>
                <c:pt idx="67">
                  <c:v>25572.99</c:v>
                </c:pt>
                <c:pt idx="68">
                  <c:v>20752.12</c:v>
                </c:pt>
                <c:pt idx="69">
                  <c:v>13036.5</c:v>
                </c:pt>
                <c:pt idx="70">
                  <c:v>17454.310000000001</c:v>
                </c:pt>
                <c:pt idx="71">
                  <c:v>17414.32</c:v>
                </c:pt>
                <c:pt idx="72">
                  <c:v>23216.74</c:v>
                </c:pt>
                <c:pt idx="73">
                  <c:v>23065.079999999998</c:v>
                </c:pt>
                <c:pt idx="74">
                  <c:v>6137.85</c:v>
                </c:pt>
                <c:pt idx="75">
                  <c:v>3076.3</c:v>
                </c:pt>
                <c:pt idx="76">
                  <c:v>2160.6999999999998</c:v>
                </c:pt>
                <c:pt idx="77">
                  <c:v>7065.9400000000005</c:v>
                </c:pt>
                <c:pt idx="78">
                  <c:v>25746.49</c:v>
                </c:pt>
                <c:pt idx="79">
                  <c:v>9188.34</c:v>
                </c:pt>
                <c:pt idx="80">
                  <c:v>11858.130000000001</c:v>
                </c:pt>
                <c:pt idx="81">
                  <c:v>17024.699999999997</c:v>
                </c:pt>
                <c:pt idx="82">
                  <c:v>10909.27</c:v>
                </c:pt>
                <c:pt idx="83">
                  <c:v>7584.58</c:v>
                </c:pt>
                <c:pt idx="84">
                  <c:v>18881.060000000001</c:v>
                </c:pt>
                <c:pt idx="85">
                  <c:v>17777.769999999997</c:v>
                </c:pt>
                <c:pt idx="86">
                  <c:v>25869.469999999998</c:v>
                </c:pt>
                <c:pt idx="87">
                  <c:v>4923.63</c:v>
                </c:pt>
                <c:pt idx="88">
                  <c:v>11988.87</c:v>
                </c:pt>
                <c:pt idx="89">
                  <c:v>8590.630000000001</c:v>
                </c:pt>
                <c:pt idx="90">
                  <c:v>26188.61</c:v>
                </c:pt>
                <c:pt idx="91">
                  <c:v>9250.619999999999</c:v>
                </c:pt>
                <c:pt idx="92">
                  <c:v>17673.09</c:v>
                </c:pt>
                <c:pt idx="93">
                  <c:v>5544.41</c:v>
                </c:pt>
                <c:pt idx="94">
                  <c:v>9698.58</c:v>
                </c:pt>
                <c:pt idx="95">
                  <c:v>8871.14</c:v>
                </c:pt>
                <c:pt idx="96">
                  <c:v>25671.869999999995</c:v>
                </c:pt>
                <c:pt idx="97">
                  <c:v>21139.32</c:v>
                </c:pt>
                <c:pt idx="98">
                  <c:v>8195.7999999999993</c:v>
                </c:pt>
                <c:pt idx="99">
                  <c:v>4971.5200000000004</c:v>
                </c:pt>
                <c:pt idx="100">
                  <c:v>10297.619999999999</c:v>
                </c:pt>
                <c:pt idx="101">
                  <c:v>15024.830000000002</c:v>
                </c:pt>
                <c:pt idx="102">
                  <c:v>11057.599999999999</c:v>
                </c:pt>
                <c:pt idx="103">
                  <c:v>7666.58</c:v>
                </c:pt>
                <c:pt idx="104">
                  <c:v>24724.479999999996</c:v>
                </c:pt>
                <c:pt idx="105">
                  <c:v>8553.98</c:v>
                </c:pt>
                <c:pt idx="106">
                  <c:v>12321.09</c:v>
                </c:pt>
                <c:pt idx="107">
                  <c:v>6410.9</c:v>
                </c:pt>
                <c:pt idx="108">
                  <c:v>6701.7199999999993</c:v>
                </c:pt>
                <c:pt idx="109">
                  <c:v>3306.54</c:v>
                </c:pt>
                <c:pt idx="110">
                  <c:v>15915.029999999999</c:v>
                </c:pt>
                <c:pt idx="111">
                  <c:v>15977.87</c:v>
                </c:pt>
                <c:pt idx="112">
                  <c:v>11768.47</c:v>
                </c:pt>
                <c:pt idx="113">
                  <c:v>1705.98</c:v>
                </c:pt>
                <c:pt idx="114">
                  <c:v>7869.22</c:v>
                </c:pt>
                <c:pt idx="115">
                  <c:v>20783.980000000003</c:v>
                </c:pt>
                <c:pt idx="116">
                  <c:v>17921.13</c:v>
                </c:pt>
                <c:pt idx="117">
                  <c:v>3100.54</c:v>
                </c:pt>
                <c:pt idx="118">
                  <c:v>18451.589999999997</c:v>
                </c:pt>
                <c:pt idx="119">
                  <c:v>16018.710000000003</c:v>
                </c:pt>
                <c:pt idx="120">
                  <c:v>8916.159999999998</c:v>
                </c:pt>
                <c:pt idx="121">
                  <c:v>9999.56</c:v>
                </c:pt>
                <c:pt idx="122">
                  <c:v>5651.98</c:v>
                </c:pt>
                <c:pt idx="123">
                  <c:v>14570.18</c:v>
                </c:pt>
                <c:pt idx="124">
                  <c:v>4818.72</c:v>
                </c:pt>
                <c:pt idx="125">
                  <c:v>20768.28</c:v>
                </c:pt>
                <c:pt idx="126">
                  <c:v>18252.46</c:v>
                </c:pt>
                <c:pt idx="127">
                  <c:v>19913.96</c:v>
                </c:pt>
                <c:pt idx="128">
                  <c:v>17291.96</c:v>
                </c:pt>
                <c:pt idx="129">
                  <c:v>14013.36</c:v>
                </c:pt>
                <c:pt idx="130">
                  <c:v>3864.3500000000004</c:v>
                </c:pt>
                <c:pt idx="131">
                  <c:v>12410.64</c:v>
                </c:pt>
                <c:pt idx="132">
                  <c:v>19390.330000000002</c:v>
                </c:pt>
                <c:pt idx="133">
                  <c:v>10908.300000000003</c:v>
                </c:pt>
                <c:pt idx="134">
                  <c:v>8062.6</c:v>
                </c:pt>
                <c:pt idx="135">
                  <c:v>21343.09</c:v>
                </c:pt>
                <c:pt idx="136">
                  <c:v>10454.130000000001</c:v>
                </c:pt>
                <c:pt idx="137">
                  <c:v>21846.560000000001</c:v>
                </c:pt>
                <c:pt idx="138">
                  <c:v>10985.26</c:v>
                </c:pt>
                <c:pt idx="139">
                  <c:v>19843.41</c:v>
                </c:pt>
                <c:pt idx="140">
                  <c:v>25584.960000000003</c:v>
                </c:pt>
                <c:pt idx="141">
                  <c:v>11965.71</c:v>
                </c:pt>
                <c:pt idx="142">
                  <c:v>3589.76</c:v>
                </c:pt>
                <c:pt idx="143">
                  <c:v>6737.08</c:v>
                </c:pt>
                <c:pt idx="144">
                  <c:v>6556.28</c:v>
                </c:pt>
                <c:pt idx="145">
                  <c:v>13483.550000000001</c:v>
                </c:pt>
                <c:pt idx="146">
                  <c:v>16638.96</c:v>
                </c:pt>
                <c:pt idx="147">
                  <c:v>19032.550000000003</c:v>
                </c:pt>
                <c:pt idx="148">
                  <c:v>22333.059999999998</c:v>
                </c:pt>
                <c:pt idx="149">
                  <c:v>2400.79</c:v>
                </c:pt>
                <c:pt idx="150">
                  <c:v>5486.38</c:v>
                </c:pt>
                <c:pt idx="151">
                  <c:v>20123.800000000003</c:v>
                </c:pt>
                <c:pt idx="152">
                  <c:v>17663.25</c:v>
                </c:pt>
                <c:pt idx="153">
                  <c:v>15996.11</c:v>
                </c:pt>
                <c:pt idx="154">
                  <c:v>4575.12</c:v>
                </c:pt>
                <c:pt idx="155">
                  <c:v>8247.0400000000009</c:v>
                </c:pt>
                <c:pt idx="156">
                  <c:v>7842.8499999999995</c:v>
                </c:pt>
                <c:pt idx="157">
                  <c:v>11840.240000000002</c:v>
                </c:pt>
                <c:pt idx="158">
                  <c:v>23856.449999999997</c:v>
                </c:pt>
                <c:pt idx="159">
                  <c:v>10530.79</c:v>
                </c:pt>
                <c:pt idx="160">
                  <c:v>12701.349999999999</c:v>
                </c:pt>
                <c:pt idx="161">
                  <c:v>7998.47</c:v>
                </c:pt>
                <c:pt idx="162">
                  <c:v>3143.04</c:v>
                </c:pt>
                <c:pt idx="163">
                  <c:v>12234.82</c:v>
                </c:pt>
                <c:pt idx="164">
                  <c:v>12455.35</c:v>
                </c:pt>
                <c:pt idx="165">
                  <c:v>16159.26</c:v>
                </c:pt>
                <c:pt idx="166">
                  <c:v>7181.3099999999995</c:v>
                </c:pt>
                <c:pt idx="167">
                  <c:v>9850</c:v>
                </c:pt>
                <c:pt idx="168">
                  <c:v>13747.03</c:v>
                </c:pt>
                <c:pt idx="169">
                  <c:v>13457.300000000001</c:v>
                </c:pt>
                <c:pt idx="170">
                  <c:v>28253.919999999998</c:v>
                </c:pt>
                <c:pt idx="171">
                  <c:v>10850.05</c:v>
                </c:pt>
                <c:pt idx="172">
                  <c:v>8641.5499999999993</c:v>
                </c:pt>
                <c:pt idx="173">
                  <c:v>13865.3</c:v>
                </c:pt>
                <c:pt idx="174">
                  <c:v>11521.53</c:v>
                </c:pt>
                <c:pt idx="175">
                  <c:v>9451.7200000000012</c:v>
                </c:pt>
                <c:pt idx="176">
                  <c:v>25700.390000000003</c:v>
                </c:pt>
                <c:pt idx="177">
                  <c:v>15838.490000000002</c:v>
                </c:pt>
                <c:pt idx="178">
                  <c:v>7950.91</c:v>
                </c:pt>
                <c:pt idx="179">
                  <c:v>1579.46</c:v>
                </c:pt>
                <c:pt idx="180">
                  <c:v>10320.549999999999</c:v>
                </c:pt>
                <c:pt idx="181">
                  <c:v>6880.2199999999993</c:v>
                </c:pt>
                <c:pt idx="182">
                  <c:v>4761.62</c:v>
                </c:pt>
                <c:pt idx="183">
                  <c:v>7022.2699999999995</c:v>
                </c:pt>
                <c:pt idx="184">
                  <c:v>6303.67</c:v>
                </c:pt>
                <c:pt idx="185">
                  <c:v>8152.7300000000005</c:v>
                </c:pt>
                <c:pt idx="186">
                  <c:v>7961.75</c:v>
                </c:pt>
                <c:pt idx="187">
                  <c:v>2624.55</c:v>
                </c:pt>
                <c:pt idx="188">
                  <c:v>9687.94</c:v>
                </c:pt>
                <c:pt idx="189">
                  <c:v>3373.25</c:v>
                </c:pt>
                <c:pt idx="190">
                  <c:v>4482.3900000000003</c:v>
                </c:pt>
                <c:pt idx="191">
                  <c:v>4598.01</c:v>
                </c:pt>
                <c:pt idx="192">
                  <c:v>2875.04</c:v>
                </c:pt>
                <c:pt idx="193">
                  <c:v>5432.33</c:v>
                </c:pt>
                <c:pt idx="194">
                  <c:v>4733.54</c:v>
                </c:pt>
                <c:pt idx="195">
                  <c:v>4788.5</c:v>
                </c:pt>
                <c:pt idx="196">
                  <c:v>339.26</c:v>
                </c:pt>
                <c:pt idx="197">
                  <c:v>4397.3900000000003</c:v>
                </c:pt>
                <c:pt idx="198">
                  <c:v>1608.14</c:v>
                </c:pt>
                <c:pt idx="199">
                  <c:v>8604.42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CC-4D17-92A4-B553BB4D017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Customer_RFM!$B:$B</c:f>
              <c:strCache>
                <c:ptCount val="200"/>
                <c:pt idx="0">
                  <c:v>recency</c:v>
                </c:pt>
                <c:pt idx="1">
                  <c:v>3</c:v>
                </c:pt>
                <c:pt idx="2">
                  <c:v>10</c:v>
                </c:pt>
                <c:pt idx="3">
                  <c:v>3</c:v>
                </c:pt>
                <c:pt idx="4">
                  <c:v>22</c:v>
                </c:pt>
                <c:pt idx="5">
                  <c:v>25</c:v>
                </c:pt>
                <c:pt idx="6">
                  <c:v>23</c:v>
                </c:pt>
                <c:pt idx="7">
                  <c:v>22</c:v>
                </c:pt>
                <c:pt idx="8">
                  <c:v>10</c:v>
                </c:pt>
                <c:pt idx="9">
                  <c:v>12</c:v>
                </c:pt>
                <c:pt idx="10">
                  <c:v>20</c:v>
                </c:pt>
                <c:pt idx="11">
                  <c:v>13</c:v>
                </c:pt>
                <c:pt idx="12">
                  <c:v>15</c:v>
                </c:pt>
                <c:pt idx="13">
                  <c:v>20</c:v>
                </c:pt>
                <c:pt idx="14">
                  <c:v>6</c:v>
                </c:pt>
                <c:pt idx="15">
                  <c:v>12</c:v>
                </c:pt>
                <c:pt idx="16">
                  <c:v>3</c:v>
                </c:pt>
                <c:pt idx="17">
                  <c:v>22</c:v>
                </c:pt>
                <c:pt idx="18">
                  <c:v>17</c:v>
                </c:pt>
                <c:pt idx="19">
                  <c:v>15</c:v>
                </c:pt>
                <c:pt idx="20">
                  <c:v>35</c:v>
                </c:pt>
                <c:pt idx="21">
                  <c:v>20</c:v>
                </c:pt>
                <c:pt idx="22">
                  <c:v>13</c:v>
                </c:pt>
                <c:pt idx="23">
                  <c:v>1</c:v>
                </c:pt>
                <c:pt idx="24">
                  <c:v>26</c:v>
                </c:pt>
                <c:pt idx="25">
                  <c:v>21</c:v>
                </c:pt>
                <c:pt idx="26">
                  <c:v>43</c:v>
                </c:pt>
                <c:pt idx="27">
                  <c:v>18</c:v>
                </c:pt>
                <c:pt idx="28">
                  <c:v>44</c:v>
                </c:pt>
                <c:pt idx="29">
                  <c:v>39</c:v>
                </c:pt>
                <c:pt idx="30">
                  <c:v>31</c:v>
                </c:pt>
                <c:pt idx="31">
                  <c:v>42</c:v>
                </c:pt>
                <c:pt idx="32">
                  <c:v>27</c:v>
                </c:pt>
                <c:pt idx="33">
                  <c:v>27</c:v>
                </c:pt>
                <c:pt idx="34">
                  <c:v>21</c:v>
                </c:pt>
                <c:pt idx="35">
                  <c:v>49</c:v>
                </c:pt>
                <c:pt idx="36">
                  <c:v>22</c:v>
                </c:pt>
                <c:pt idx="37">
                  <c:v>43</c:v>
                </c:pt>
                <c:pt idx="38">
                  <c:v>4</c:v>
                </c:pt>
                <c:pt idx="39">
                  <c:v>46</c:v>
                </c:pt>
                <c:pt idx="40">
                  <c:v>5</c:v>
                </c:pt>
                <c:pt idx="41">
                  <c:v>18</c:v>
                </c:pt>
                <c:pt idx="42">
                  <c:v>31</c:v>
                </c:pt>
                <c:pt idx="43">
                  <c:v>43</c:v>
                </c:pt>
                <c:pt idx="44">
                  <c:v>38</c:v>
                </c:pt>
                <c:pt idx="45">
                  <c:v>50</c:v>
                </c:pt>
                <c:pt idx="46">
                  <c:v>6</c:v>
                </c:pt>
                <c:pt idx="47">
                  <c:v>1</c:v>
                </c:pt>
                <c:pt idx="48">
                  <c:v>58</c:v>
                </c:pt>
                <c:pt idx="49">
                  <c:v>16</c:v>
                </c:pt>
                <c:pt idx="50">
                  <c:v>10</c:v>
                </c:pt>
                <c:pt idx="51">
                  <c:v>8</c:v>
                </c:pt>
                <c:pt idx="52">
                  <c:v>59</c:v>
                </c:pt>
                <c:pt idx="53">
                  <c:v>26</c:v>
                </c:pt>
                <c:pt idx="54">
                  <c:v>59</c:v>
                </c:pt>
                <c:pt idx="55">
                  <c:v>37</c:v>
                </c:pt>
                <c:pt idx="56">
                  <c:v>24</c:v>
                </c:pt>
                <c:pt idx="57">
                  <c:v>46</c:v>
                </c:pt>
                <c:pt idx="58">
                  <c:v>58</c:v>
                </c:pt>
                <c:pt idx="59">
                  <c:v>27</c:v>
                </c:pt>
                <c:pt idx="60">
                  <c:v>52</c:v>
                </c:pt>
                <c:pt idx="61">
                  <c:v>30</c:v>
                </c:pt>
                <c:pt idx="62">
                  <c:v>57</c:v>
                </c:pt>
                <c:pt idx="63">
                  <c:v>62</c:v>
                </c:pt>
                <c:pt idx="64">
                  <c:v>60</c:v>
                </c:pt>
                <c:pt idx="65">
                  <c:v>28</c:v>
                </c:pt>
                <c:pt idx="66">
                  <c:v>48</c:v>
                </c:pt>
                <c:pt idx="67">
                  <c:v>13</c:v>
                </c:pt>
                <c:pt idx="68">
                  <c:v>2</c:v>
                </c:pt>
                <c:pt idx="69">
                  <c:v>21</c:v>
                </c:pt>
                <c:pt idx="70">
                  <c:v>20</c:v>
                </c:pt>
                <c:pt idx="71">
                  <c:v>48</c:v>
                </c:pt>
                <c:pt idx="72">
                  <c:v>40</c:v>
                </c:pt>
                <c:pt idx="73">
                  <c:v>42</c:v>
                </c:pt>
                <c:pt idx="74">
                  <c:v>19</c:v>
                </c:pt>
                <c:pt idx="75">
                  <c:v>23</c:v>
                </c:pt>
                <c:pt idx="76">
                  <c:v>50</c:v>
                </c:pt>
                <c:pt idx="77">
                  <c:v>47</c:v>
                </c:pt>
                <c:pt idx="78">
                  <c:v>70</c:v>
                </c:pt>
                <c:pt idx="79">
                  <c:v>9</c:v>
                </c:pt>
                <c:pt idx="80">
                  <c:v>23</c:v>
                </c:pt>
                <c:pt idx="81">
                  <c:v>37</c:v>
                </c:pt>
                <c:pt idx="82">
                  <c:v>27</c:v>
                </c:pt>
                <c:pt idx="83">
                  <c:v>2</c:v>
                </c:pt>
                <c:pt idx="84">
                  <c:v>21</c:v>
                </c:pt>
                <c:pt idx="85">
                  <c:v>33</c:v>
                </c:pt>
                <c:pt idx="86">
                  <c:v>28</c:v>
                </c:pt>
                <c:pt idx="87">
                  <c:v>58</c:v>
                </c:pt>
                <c:pt idx="88">
                  <c:v>34</c:v>
                </c:pt>
                <c:pt idx="89">
                  <c:v>14</c:v>
                </c:pt>
                <c:pt idx="90">
                  <c:v>16</c:v>
                </c:pt>
                <c:pt idx="91">
                  <c:v>35</c:v>
                </c:pt>
                <c:pt idx="92">
                  <c:v>72</c:v>
                </c:pt>
                <c:pt idx="93">
                  <c:v>4</c:v>
                </c:pt>
                <c:pt idx="94">
                  <c:v>28</c:v>
                </c:pt>
                <c:pt idx="95">
                  <c:v>71</c:v>
                </c:pt>
                <c:pt idx="96">
                  <c:v>73</c:v>
                </c:pt>
                <c:pt idx="97">
                  <c:v>43</c:v>
                </c:pt>
                <c:pt idx="98">
                  <c:v>11</c:v>
                </c:pt>
                <c:pt idx="99">
                  <c:v>74</c:v>
                </c:pt>
                <c:pt idx="100">
                  <c:v>53</c:v>
                </c:pt>
                <c:pt idx="101">
                  <c:v>14</c:v>
                </c:pt>
                <c:pt idx="102">
                  <c:v>30</c:v>
                </c:pt>
                <c:pt idx="103">
                  <c:v>28</c:v>
                </c:pt>
                <c:pt idx="104">
                  <c:v>40</c:v>
                </c:pt>
                <c:pt idx="105">
                  <c:v>63</c:v>
                </c:pt>
                <c:pt idx="106">
                  <c:v>52</c:v>
                </c:pt>
                <c:pt idx="107">
                  <c:v>33</c:v>
                </c:pt>
                <c:pt idx="108">
                  <c:v>19</c:v>
                </c:pt>
                <c:pt idx="109">
                  <c:v>45</c:v>
                </c:pt>
                <c:pt idx="110">
                  <c:v>18</c:v>
                </c:pt>
                <c:pt idx="111">
                  <c:v>82</c:v>
                </c:pt>
                <c:pt idx="112">
                  <c:v>65</c:v>
                </c:pt>
                <c:pt idx="113">
                  <c:v>29</c:v>
                </c:pt>
                <c:pt idx="114">
                  <c:v>30</c:v>
                </c:pt>
                <c:pt idx="115">
                  <c:v>57</c:v>
                </c:pt>
                <c:pt idx="116">
                  <c:v>37</c:v>
                </c:pt>
                <c:pt idx="117">
                  <c:v>2</c:v>
                </c:pt>
                <c:pt idx="118">
                  <c:v>42</c:v>
                </c:pt>
                <c:pt idx="119">
                  <c:v>20</c:v>
                </c:pt>
                <c:pt idx="120">
                  <c:v>43</c:v>
                </c:pt>
                <c:pt idx="121">
                  <c:v>26</c:v>
                </c:pt>
                <c:pt idx="122">
                  <c:v>68</c:v>
                </c:pt>
                <c:pt idx="123">
                  <c:v>82</c:v>
                </c:pt>
                <c:pt idx="124">
                  <c:v>8</c:v>
                </c:pt>
                <c:pt idx="125">
                  <c:v>42</c:v>
                </c:pt>
                <c:pt idx="126">
                  <c:v>90</c:v>
                </c:pt>
                <c:pt idx="127">
                  <c:v>97</c:v>
                </c:pt>
                <c:pt idx="128">
                  <c:v>74</c:v>
                </c:pt>
                <c:pt idx="129">
                  <c:v>43</c:v>
                </c:pt>
                <c:pt idx="130">
                  <c:v>90</c:v>
                </c:pt>
                <c:pt idx="131">
                  <c:v>36</c:v>
                </c:pt>
                <c:pt idx="132">
                  <c:v>4</c:v>
                </c:pt>
                <c:pt idx="133">
                  <c:v>49</c:v>
                </c:pt>
                <c:pt idx="134">
                  <c:v>45</c:v>
                </c:pt>
                <c:pt idx="135">
                  <c:v>48</c:v>
                </c:pt>
                <c:pt idx="136">
                  <c:v>66</c:v>
                </c:pt>
                <c:pt idx="137">
                  <c:v>91</c:v>
                </c:pt>
                <c:pt idx="138">
                  <c:v>45</c:v>
                </c:pt>
                <c:pt idx="139">
                  <c:v>79</c:v>
                </c:pt>
                <c:pt idx="140">
                  <c:v>44</c:v>
                </c:pt>
                <c:pt idx="141">
                  <c:v>13</c:v>
                </c:pt>
                <c:pt idx="142">
                  <c:v>29</c:v>
                </c:pt>
                <c:pt idx="143">
                  <c:v>11</c:v>
                </c:pt>
                <c:pt idx="144">
                  <c:v>54</c:v>
                </c:pt>
                <c:pt idx="145">
                  <c:v>52</c:v>
                </c:pt>
                <c:pt idx="146">
                  <c:v>59</c:v>
                </c:pt>
                <c:pt idx="147">
                  <c:v>84</c:v>
                </c:pt>
                <c:pt idx="148">
                  <c:v>64</c:v>
                </c:pt>
                <c:pt idx="149">
                  <c:v>25</c:v>
                </c:pt>
                <c:pt idx="150">
                  <c:v>81</c:v>
                </c:pt>
                <c:pt idx="151">
                  <c:v>77</c:v>
                </c:pt>
                <c:pt idx="152">
                  <c:v>34</c:v>
                </c:pt>
                <c:pt idx="153">
                  <c:v>66</c:v>
                </c:pt>
                <c:pt idx="154">
                  <c:v>80</c:v>
                </c:pt>
                <c:pt idx="155">
                  <c:v>74</c:v>
                </c:pt>
                <c:pt idx="156">
                  <c:v>75</c:v>
                </c:pt>
                <c:pt idx="157">
                  <c:v>68</c:v>
                </c:pt>
                <c:pt idx="158">
                  <c:v>8</c:v>
                </c:pt>
                <c:pt idx="159">
                  <c:v>103</c:v>
                </c:pt>
                <c:pt idx="160">
                  <c:v>90</c:v>
                </c:pt>
                <c:pt idx="161">
                  <c:v>48</c:v>
                </c:pt>
                <c:pt idx="162">
                  <c:v>48</c:v>
                </c:pt>
                <c:pt idx="163">
                  <c:v>28</c:v>
                </c:pt>
                <c:pt idx="164">
                  <c:v>86</c:v>
                </c:pt>
                <c:pt idx="165">
                  <c:v>15</c:v>
                </c:pt>
                <c:pt idx="166">
                  <c:v>22</c:v>
                </c:pt>
                <c:pt idx="167">
                  <c:v>63</c:v>
                </c:pt>
                <c:pt idx="168">
                  <c:v>30</c:v>
                </c:pt>
                <c:pt idx="169">
                  <c:v>110</c:v>
                </c:pt>
                <c:pt idx="170">
                  <c:v>70</c:v>
                </c:pt>
                <c:pt idx="171">
                  <c:v>99</c:v>
                </c:pt>
                <c:pt idx="172">
                  <c:v>25</c:v>
                </c:pt>
                <c:pt idx="173">
                  <c:v>89</c:v>
                </c:pt>
                <c:pt idx="174">
                  <c:v>23</c:v>
                </c:pt>
                <c:pt idx="175">
                  <c:v>97</c:v>
                </c:pt>
                <c:pt idx="176">
                  <c:v>3</c:v>
                </c:pt>
                <c:pt idx="177">
                  <c:v>101</c:v>
                </c:pt>
                <c:pt idx="178">
                  <c:v>38</c:v>
                </c:pt>
                <c:pt idx="179">
                  <c:v>82</c:v>
                </c:pt>
                <c:pt idx="180">
                  <c:v>80</c:v>
                </c:pt>
                <c:pt idx="181">
                  <c:v>8</c:v>
                </c:pt>
                <c:pt idx="182">
                  <c:v>79</c:v>
                </c:pt>
                <c:pt idx="183">
                  <c:v>7</c:v>
                </c:pt>
                <c:pt idx="184">
                  <c:v>59</c:v>
                </c:pt>
                <c:pt idx="185">
                  <c:v>72</c:v>
                </c:pt>
                <c:pt idx="186">
                  <c:v>108</c:v>
                </c:pt>
                <c:pt idx="187">
                  <c:v>79</c:v>
                </c:pt>
                <c:pt idx="188">
                  <c:v>116</c:v>
                </c:pt>
                <c:pt idx="189">
                  <c:v>9</c:v>
                </c:pt>
                <c:pt idx="190">
                  <c:v>87</c:v>
                </c:pt>
                <c:pt idx="191">
                  <c:v>57</c:v>
                </c:pt>
                <c:pt idx="192">
                  <c:v>105</c:v>
                </c:pt>
                <c:pt idx="193">
                  <c:v>34</c:v>
                </c:pt>
                <c:pt idx="194">
                  <c:v>10</c:v>
                </c:pt>
                <c:pt idx="195">
                  <c:v>11</c:v>
                </c:pt>
                <c:pt idx="196">
                  <c:v>19</c:v>
                </c:pt>
                <c:pt idx="197">
                  <c:v>29</c:v>
                </c:pt>
                <c:pt idx="198">
                  <c:v>97</c:v>
                </c:pt>
                <c:pt idx="199">
                  <c:v>34</c:v>
                </c:pt>
              </c:strCache>
            </c:strRef>
          </c:xVal>
          <c:yVal>
            <c:numRef>
              <c:f>Customer_RFM!$C$2:$C$200</c:f>
              <c:numCache>
                <c:formatCode>0</c:formatCode>
                <c:ptCount val="199"/>
                <c:pt idx="0">
                  <c:v>5</c:v>
                </c:pt>
                <c:pt idx="1">
                  <c:v>3</c:v>
                </c:pt>
                <c:pt idx="2">
                  <c:v>7</c:v>
                </c:pt>
                <c:pt idx="3">
                  <c:v>8</c:v>
                </c:pt>
                <c:pt idx="4">
                  <c:v>2</c:v>
                </c:pt>
                <c:pt idx="5">
                  <c:v>7</c:v>
                </c:pt>
                <c:pt idx="6">
                  <c:v>7</c:v>
                </c:pt>
                <c:pt idx="7">
                  <c:v>5</c:v>
                </c:pt>
                <c:pt idx="8">
                  <c:v>5</c:v>
                </c:pt>
                <c:pt idx="9">
                  <c:v>6</c:v>
                </c:pt>
                <c:pt idx="10">
                  <c:v>6</c:v>
                </c:pt>
                <c:pt idx="11">
                  <c:v>9</c:v>
                </c:pt>
                <c:pt idx="12">
                  <c:v>5</c:v>
                </c:pt>
                <c:pt idx="13">
                  <c:v>8</c:v>
                </c:pt>
                <c:pt idx="14">
                  <c:v>9</c:v>
                </c:pt>
                <c:pt idx="15">
                  <c:v>8</c:v>
                </c:pt>
                <c:pt idx="16">
                  <c:v>7</c:v>
                </c:pt>
                <c:pt idx="17">
                  <c:v>9</c:v>
                </c:pt>
                <c:pt idx="18">
                  <c:v>8</c:v>
                </c:pt>
                <c:pt idx="19">
                  <c:v>8</c:v>
                </c:pt>
                <c:pt idx="20">
                  <c:v>7</c:v>
                </c:pt>
                <c:pt idx="21">
                  <c:v>4</c:v>
                </c:pt>
                <c:pt idx="22">
                  <c:v>9</c:v>
                </c:pt>
                <c:pt idx="23">
                  <c:v>5</c:v>
                </c:pt>
                <c:pt idx="24">
                  <c:v>5</c:v>
                </c:pt>
                <c:pt idx="25">
                  <c:v>8</c:v>
                </c:pt>
                <c:pt idx="26">
                  <c:v>5</c:v>
                </c:pt>
                <c:pt idx="27">
                  <c:v>3</c:v>
                </c:pt>
                <c:pt idx="28">
                  <c:v>2</c:v>
                </c:pt>
                <c:pt idx="29">
                  <c:v>8</c:v>
                </c:pt>
                <c:pt idx="30">
                  <c:v>7</c:v>
                </c:pt>
                <c:pt idx="31">
                  <c:v>4</c:v>
                </c:pt>
                <c:pt idx="32">
                  <c:v>9</c:v>
                </c:pt>
                <c:pt idx="33">
                  <c:v>8</c:v>
                </c:pt>
                <c:pt idx="34">
                  <c:v>8</c:v>
                </c:pt>
                <c:pt idx="35">
                  <c:v>8</c:v>
                </c:pt>
                <c:pt idx="36">
                  <c:v>1</c:v>
                </c:pt>
                <c:pt idx="37">
                  <c:v>9</c:v>
                </c:pt>
                <c:pt idx="38">
                  <c:v>3</c:v>
                </c:pt>
                <c:pt idx="39">
                  <c:v>6</c:v>
                </c:pt>
                <c:pt idx="40">
                  <c:v>7</c:v>
                </c:pt>
                <c:pt idx="41">
                  <c:v>6</c:v>
                </c:pt>
                <c:pt idx="42">
                  <c:v>6</c:v>
                </c:pt>
                <c:pt idx="43">
                  <c:v>7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6</c:v>
                </c:pt>
                <c:pt idx="48">
                  <c:v>8</c:v>
                </c:pt>
                <c:pt idx="49">
                  <c:v>5</c:v>
                </c:pt>
                <c:pt idx="50">
                  <c:v>5</c:v>
                </c:pt>
                <c:pt idx="51">
                  <c:v>7</c:v>
                </c:pt>
                <c:pt idx="52">
                  <c:v>8</c:v>
                </c:pt>
                <c:pt idx="53">
                  <c:v>4</c:v>
                </c:pt>
                <c:pt idx="54">
                  <c:v>3</c:v>
                </c:pt>
                <c:pt idx="55">
                  <c:v>8</c:v>
                </c:pt>
                <c:pt idx="56">
                  <c:v>1</c:v>
                </c:pt>
                <c:pt idx="57">
                  <c:v>5</c:v>
                </c:pt>
                <c:pt idx="58">
                  <c:v>9</c:v>
                </c:pt>
                <c:pt idx="59">
                  <c:v>8</c:v>
                </c:pt>
                <c:pt idx="60">
                  <c:v>2</c:v>
                </c:pt>
                <c:pt idx="61">
                  <c:v>8</c:v>
                </c:pt>
                <c:pt idx="62">
                  <c:v>5</c:v>
                </c:pt>
                <c:pt idx="63">
                  <c:v>4</c:v>
                </c:pt>
                <c:pt idx="64">
                  <c:v>6</c:v>
                </c:pt>
                <c:pt idx="65">
                  <c:v>7</c:v>
                </c:pt>
                <c:pt idx="66">
                  <c:v>5</c:v>
                </c:pt>
                <c:pt idx="67">
                  <c:v>8</c:v>
                </c:pt>
                <c:pt idx="68">
                  <c:v>2</c:v>
                </c:pt>
                <c:pt idx="69">
                  <c:v>7</c:v>
                </c:pt>
                <c:pt idx="70">
                  <c:v>4</c:v>
                </c:pt>
                <c:pt idx="71">
                  <c:v>9</c:v>
                </c:pt>
                <c:pt idx="72">
                  <c:v>7</c:v>
                </c:pt>
                <c:pt idx="73">
                  <c:v>4</c:v>
                </c:pt>
                <c:pt idx="74">
                  <c:v>5</c:v>
                </c:pt>
                <c:pt idx="75">
                  <c:v>8</c:v>
                </c:pt>
                <c:pt idx="76">
                  <c:v>8</c:v>
                </c:pt>
                <c:pt idx="77">
                  <c:v>4</c:v>
                </c:pt>
                <c:pt idx="78">
                  <c:v>5</c:v>
                </c:pt>
                <c:pt idx="79">
                  <c:v>4</c:v>
                </c:pt>
                <c:pt idx="80">
                  <c:v>8</c:v>
                </c:pt>
                <c:pt idx="81">
                  <c:v>4</c:v>
                </c:pt>
                <c:pt idx="82">
                  <c:v>5</c:v>
                </c:pt>
                <c:pt idx="83">
                  <c:v>6</c:v>
                </c:pt>
                <c:pt idx="84">
                  <c:v>4</c:v>
                </c:pt>
                <c:pt idx="85">
                  <c:v>3</c:v>
                </c:pt>
                <c:pt idx="86">
                  <c:v>3</c:v>
                </c:pt>
                <c:pt idx="87">
                  <c:v>6</c:v>
                </c:pt>
                <c:pt idx="88">
                  <c:v>3</c:v>
                </c:pt>
                <c:pt idx="89">
                  <c:v>5</c:v>
                </c:pt>
                <c:pt idx="90">
                  <c:v>3</c:v>
                </c:pt>
                <c:pt idx="91">
                  <c:v>9</c:v>
                </c:pt>
                <c:pt idx="92">
                  <c:v>8</c:v>
                </c:pt>
                <c:pt idx="93">
                  <c:v>8</c:v>
                </c:pt>
                <c:pt idx="94">
                  <c:v>5</c:v>
                </c:pt>
                <c:pt idx="95">
                  <c:v>5</c:v>
                </c:pt>
                <c:pt idx="96">
                  <c:v>6</c:v>
                </c:pt>
                <c:pt idx="97">
                  <c:v>5</c:v>
                </c:pt>
                <c:pt idx="98">
                  <c:v>2</c:v>
                </c:pt>
                <c:pt idx="99">
                  <c:v>2</c:v>
                </c:pt>
                <c:pt idx="100">
                  <c:v>9</c:v>
                </c:pt>
                <c:pt idx="101">
                  <c:v>1</c:v>
                </c:pt>
                <c:pt idx="102">
                  <c:v>5</c:v>
                </c:pt>
                <c:pt idx="103">
                  <c:v>6</c:v>
                </c:pt>
                <c:pt idx="104">
                  <c:v>9</c:v>
                </c:pt>
                <c:pt idx="105">
                  <c:v>4</c:v>
                </c:pt>
                <c:pt idx="106">
                  <c:v>7</c:v>
                </c:pt>
                <c:pt idx="107">
                  <c:v>5</c:v>
                </c:pt>
                <c:pt idx="108">
                  <c:v>9</c:v>
                </c:pt>
                <c:pt idx="109">
                  <c:v>3</c:v>
                </c:pt>
                <c:pt idx="110">
                  <c:v>3</c:v>
                </c:pt>
                <c:pt idx="111">
                  <c:v>10</c:v>
                </c:pt>
                <c:pt idx="112">
                  <c:v>5</c:v>
                </c:pt>
                <c:pt idx="113">
                  <c:v>3</c:v>
                </c:pt>
                <c:pt idx="114">
                  <c:v>4</c:v>
                </c:pt>
                <c:pt idx="115">
                  <c:v>5</c:v>
                </c:pt>
                <c:pt idx="116">
                  <c:v>1</c:v>
                </c:pt>
                <c:pt idx="117">
                  <c:v>6</c:v>
                </c:pt>
                <c:pt idx="118">
                  <c:v>4</c:v>
                </c:pt>
                <c:pt idx="119">
                  <c:v>3</c:v>
                </c:pt>
                <c:pt idx="120">
                  <c:v>5</c:v>
                </c:pt>
                <c:pt idx="121">
                  <c:v>7</c:v>
                </c:pt>
                <c:pt idx="122">
                  <c:v>4</c:v>
                </c:pt>
                <c:pt idx="123">
                  <c:v>5</c:v>
                </c:pt>
                <c:pt idx="124">
                  <c:v>3</c:v>
                </c:pt>
                <c:pt idx="125">
                  <c:v>3</c:v>
                </c:pt>
                <c:pt idx="126">
                  <c:v>7</c:v>
                </c:pt>
                <c:pt idx="127">
                  <c:v>4</c:v>
                </c:pt>
                <c:pt idx="128">
                  <c:v>6</c:v>
                </c:pt>
                <c:pt idx="129">
                  <c:v>5</c:v>
                </c:pt>
                <c:pt idx="130">
                  <c:v>4</c:v>
                </c:pt>
                <c:pt idx="131">
                  <c:v>7</c:v>
                </c:pt>
                <c:pt idx="132">
                  <c:v>4</c:v>
                </c:pt>
                <c:pt idx="133">
                  <c:v>3</c:v>
                </c:pt>
                <c:pt idx="134">
                  <c:v>4</c:v>
                </c:pt>
                <c:pt idx="135">
                  <c:v>4</c:v>
                </c:pt>
                <c:pt idx="136">
                  <c:v>3</c:v>
                </c:pt>
                <c:pt idx="137">
                  <c:v>3</c:v>
                </c:pt>
                <c:pt idx="138">
                  <c:v>5</c:v>
                </c:pt>
                <c:pt idx="139">
                  <c:v>4</c:v>
                </c:pt>
                <c:pt idx="140">
                  <c:v>5</c:v>
                </c:pt>
                <c:pt idx="141">
                  <c:v>10</c:v>
                </c:pt>
                <c:pt idx="142">
                  <c:v>1</c:v>
                </c:pt>
                <c:pt idx="143">
                  <c:v>5</c:v>
                </c:pt>
                <c:pt idx="144">
                  <c:v>8</c:v>
                </c:pt>
                <c:pt idx="145">
                  <c:v>2</c:v>
                </c:pt>
                <c:pt idx="146">
                  <c:v>5</c:v>
                </c:pt>
                <c:pt idx="147">
                  <c:v>3</c:v>
                </c:pt>
                <c:pt idx="148">
                  <c:v>4</c:v>
                </c:pt>
                <c:pt idx="149">
                  <c:v>6</c:v>
                </c:pt>
                <c:pt idx="150">
                  <c:v>4</c:v>
                </c:pt>
                <c:pt idx="151">
                  <c:v>7</c:v>
                </c:pt>
                <c:pt idx="152">
                  <c:v>5</c:v>
                </c:pt>
                <c:pt idx="153">
                  <c:v>3</c:v>
                </c:pt>
                <c:pt idx="154">
                  <c:v>7</c:v>
                </c:pt>
                <c:pt idx="155">
                  <c:v>3</c:v>
                </c:pt>
                <c:pt idx="156">
                  <c:v>4</c:v>
                </c:pt>
                <c:pt idx="157">
                  <c:v>4</c:v>
                </c:pt>
                <c:pt idx="158">
                  <c:v>8</c:v>
                </c:pt>
                <c:pt idx="159">
                  <c:v>4</c:v>
                </c:pt>
                <c:pt idx="160">
                  <c:v>6</c:v>
                </c:pt>
                <c:pt idx="161">
                  <c:v>9</c:v>
                </c:pt>
                <c:pt idx="162">
                  <c:v>3</c:v>
                </c:pt>
                <c:pt idx="163">
                  <c:v>3</c:v>
                </c:pt>
                <c:pt idx="164">
                  <c:v>7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5</c:v>
                </c:pt>
                <c:pt idx="169">
                  <c:v>6</c:v>
                </c:pt>
                <c:pt idx="170">
                  <c:v>5</c:v>
                </c:pt>
                <c:pt idx="171">
                  <c:v>3</c:v>
                </c:pt>
                <c:pt idx="172">
                  <c:v>2</c:v>
                </c:pt>
                <c:pt idx="173">
                  <c:v>6</c:v>
                </c:pt>
                <c:pt idx="174">
                  <c:v>1</c:v>
                </c:pt>
                <c:pt idx="175">
                  <c:v>6</c:v>
                </c:pt>
                <c:pt idx="176">
                  <c:v>3</c:v>
                </c:pt>
                <c:pt idx="177">
                  <c:v>3</c:v>
                </c:pt>
                <c:pt idx="178">
                  <c:v>3</c:v>
                </c:pt>
                <c:pt idx="179">
                  <c:v>4</c:v>
                </c:pt>
                <c:pt idx="180">
                  <c:v>6</c:v>
                </c:pt>
                <c:pt idx="181">
                  <c:v>3</c:v>
                </c:pt>
                <c:pt idx="182">
                  <c:v>2</c:v>
                </c:pt>
                <c:pt idx="183">
                  <c:v>3</c:v>
                </c:pt>
                <c:pt idx="184">
                  <c:v>1</c:v>
                </c:pt>
                <c:pt idx="185">
                  <c:v>2</c:v>
                </c:pt>
                <c:pt idx="186">
                  <c:v>2</c:v>
                </c:pt>
                <c:pt idx="187">
                  <c:v>2</c:v>
                </c:pt>
                <c:pt idx="188">
                  <c:v>1</c:v>
                </c:pt>
                <c:pt idx="189">
                  <c:v>3</c:v>
                </c:pt>
                <c:pt idx="190">
                  <c:v>2</c:v>
                </c:pt>
                <c:pt idx="191">
                  <c:v>2</c:v>
                </c:pt>
                <c:pt idx="192">
                  <c:v>4</c:v>
                </c:pt>
                <c:pt idx="193">
                  <c:v>2</c:v>
                </c:pt>
                <c:pt idx="194">
                  <c:v>3</c:v>
                </c:pt>
                <c:pt idx="195">
                  <c:v>1</c:v>
                </c:pt>
                <c:pt idx="196">
                  <c:v>3</c:v>
                </c:pt>
                <c:pt idx="197">
                  <c:v>2</c:v>
                </c:pt>
                <c:pt idx="198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CC-4D17-92A4-B553BB4D01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0989024"/>
        <c:axId val="1889260688"/>
      </c:scatterChart>
      <c:valAx>
        <c:axId val="570989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260688"/>
        <c:crosses val="autoZero"/>
        <c:crossBetween val="midCat"/>
      </c:valAx>
      <c:valAx>
        <c:axId val="1889260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989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22225</xdr:colOff>
      <xdr:row>19</xdr:row>
      <xdr:rowOff>149225</xdr:rowOff>
    </xdr:from>
    <xdr:to>
      <xdr:col>10</xdr:col>
      <xdr:colOff>82550</xdr:colOff>
      <xdr:row>32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8210D0-DB7C-93EE-06E8-2D2F23757A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142875</xdr:colOff>
      <xdr:row>38</xdr:row>
      <xdr:rowOff>28575</xdr:rowOff>
    </xdr:from>
    <xdr:to>
      <xdr:col>11</xdr:col>
      <xdr:colOff>447675</xdr:colOff>
      <xdr:row>53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1F2950-898C-719B-D40E-C326CF324F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1095685</xdr:colOff>
      <xdr:row>68</xdr:row>
      <xdr:rowOff>-1</xdr:rowOff>
    </xdr:from>
    <xdr:to>
      <xdr:col>13</xdr:col>
      <xdr:colOff>12450</xdr:colOff>
      <xdr:row>88</xdr:row>
      <xdr:rowOff>87156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ADEB46B-5772-4042-85C1-2CDC6D72C1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 thinkpad" refreshedDate="45988.395352430554" createdVersion="8" refreshedVersion="8" minRefreshableVersion="3" recordCount="201" xr:uid="{28AD05E3-C213-4439-A7B6-ED87707B1FAB}">
  <cacheSource type="worksheet">
    <worksheetSource ref="A1:I1048576" sheet="Customer_RFM"/>
  </cacheSource>
  <cacheFields count="9">
    <cacheField name="customerid" numFmtId="0">
      <sharedItems containsBlank="1" containsMixedTypes="1" containsNumber="1" containsInteger="1" minValue="0" maxValue="0"/>
    </cacheField>
    <cacheField name="recency" numFmtId="1">
      <sharedItems containsString="0" containsBlank="1" containsNumber="1" containsInteger="1" minValue="2" maxValue="180" count="128">
        <n v="31"/>
        <n v="57"/>
        <n v="139"/>
        <n v="150"/>
        <n v="124"/>
        <n v="110"/>
        <n v="37"/>
        <n v="135"/>
        <n v="60"/>
        <n v="20"/>
        <n v="10"/>
        <n v="71"/>
        <n v="34"/>
        <n v="55"/>
        <n v="116"/>
        <n v="7"/>
        <n v="128"/>
        <n v="30"/>
        <n v="180"/>
        <n v="130"/>
        <n v="67"/>
        <n v="120"/>
        <n v="115"/>
        <n v="2"/>
        <n v="52"/>
        <n v="165"/>
        <n v="59"/>
        <n v="101"/>
        <n v="35"/>
        <n v="94"/>
        <n v="73"/>
        <n v="95"/>
        <n v="38"/>
        <n v="109"/>
        <n v="15"/>
        <n v="90"/>
        <n v="158"/>
        <n v="33"/>
        <n v="40"/>
        <n v="23"/>
        <n v="107"/>
        <n v="56"/>
        <n v="154"/>
        <n v="147"/>
        <n v="141"/>
        <n v="178"/>
        <n v="27"/>
        <n v="28"/>
        <n v="61"/>
        <n v="148"/>
        <n v="36"/>
        <n v="136"/>
        <n v="98"/>
        <n v="177"/>
        <n v="39"/>
        <n v="159"/>
        <n v="125"/>
        <n v="68"/>
        <n v="80"/>
        <n v="106"/>
        <n v="132"/>
        <n v="11"/>
        <n v="166"/>
        <n v="82"/>
        <n v="114"/>
        <n v="175"/>
        <n v="42"/>
        <n v="156"/>
        <n v="144"/>
        <n v="22"/>
        <n v="143"/>
        <n v="8"/>
        <n v="161"/>
        <n v="113"/>
        <n v="145"/>
        <n v="138"/>
        <n v="86"/>
        <n v="77"/>
        <n v="58"/>
        <n v="103"/>
        <n v="160"/>
        <n v="119"/>
        <n v="102"/>
        <n v="164"/>
        <n v="167"/>
        <n v="70"/>
        <n v="49"/>
        <n v="121"/>
        <n v="69"/>
        <n v="72"/>
        <n v="163"/>
        <n v="65"/>
        <n v="41"/>
        <n v="149"/>
        <n v="50"/>
        <n v="93"/>
        <n v="92"/>
        <n v="176"/>
        <n v="18"/>
        <n v="105"/>
        <n v="133"/>
        <n v="100"/>
        <n v="47"/>
        <n v="5"/>
        <n v="97"/>
        <n v="171"/>
        <n v="126"/>
        <n v="117"/>
        <n v="169"/>
        <n v="19"/>
        <n v="79"/>
        <n v="26"/>
        <n v="170"/>
        <n v="6"/>
        <n v="21"/>
        <n v="104"/>
        <n v="74"/>
        <n v="140"/>
        <n v="173"/>
        <n v="89"/>
        <n v="152"/>
        <n v="96"/>
        <n v="75"/>
        <n v="162"/>
        <n v="53"/>
        <n v="44"/>
        <n v="48"/>
        <m/>
      </sharedItems>
    </cacheField>
    <cacheField name="frequency" numFmtId="0">
      <sharedItems containsString="0" containsBlank="1" containsNumber="1" containsInteger="1" minValue="0" maxValue="10" count="12">
        <n v="4"/>
        <n v="6"/>
        <n v="8"/>
        <n v="5"/>
        <n v="7"/>
        <n v="9"/>
        <n v="10"/>
        <n v="2"/>
        <n v="3"/>
        <n v="1"/>
        <n v="0"/>
        <m/>
      </sharedItems>
    </cacheField>
    <cacheField name="monetory" numFmtId="164">
      <sharedItems containsString="0" containsBlank="1" containsNumber="1" minValue="0" maxValue="31724.690000000002"/>
    </cacheField>
    <cacheField name="R_Score" numFmtId="0">
      <sharedItems containsString="0" containsBlank="1" containsNumber="1" containsInteger="1" minValue="1" maxValue="5"/>
    </cacheField>
    <cacheField name="F_Score" numFmtId="0">
      <sharedItems containsString="0" containsBlank="1" containsNumber="1" containsInteger="1" minValue="1" maxValue="5"/>
    </cacheField>
    <cacheField name="M_Score" numFmtId="0">
      <sharedItems containsString="0" containsBlank="1" containsNumber="1" containsInteger="1" minValue="1" maxValue="5"/>
    </cacheField>
    <cacheField name="RFM Score" numFmtId="0">
      <sharedItems containsBlank="1"/>
    </cacheField>
    <cacheField name="Segment" numFmtId="0">
      <sharedItems containsBlank="1" count="7">
        <s v="Potential Loyalists"/>
        <s v="New Customers"/>
        <s v="At Risk"/>
        <s v="Loyal Customers"/>
        <s v="Champions"/>
        <s v="Other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1">
  <r>
    <s v="CUST0052"/>
    <x v="0"/>
    <x v="0"/>
    <n v="9241.01"/>
    <n v="4"/>
    <n v="3"/>
    <n v="4"/>
    <s v="434"/>
    <x v="0"/>
  </r>
  <r>
    <s v="CUST0170"/>
    <x v="1"/>
    <x v="1"/>
    <n v="16218.84"/>
    <n v="4"/>
    <n v="4"/>
    <n v="5"/>
    <s v="445"/>
    <x v="0"/>
  </r>
  <r>
    <s v="CUST0115"/>
    <x v="2"/>
    <x v="2"/>
    <n v="24755.529999999995"/>
    <n v="1"/>
    <n v="5"/>
    <n v="5"/>
    <s v="155"/>
    <x v="1"/>
  </r>
  <r>
    <s v="CUST0128"/>
    <x v="3"/>
    <x v="3"/>
    <n v="9619.4499999999989"/>
    <n v="1"/>
    <n v="4"/>
    <n v="4"/>
    <s v="144"/>
    <x v="2"/>
  </r>
  <r>
    <s v="CUST0177"/>
    <x v="4"/>
    <x v="2"/>
    <n v="19021.899999999998"/>
    <n v="1"/>
    <n v="5"/>
    <n v="5"/>
    <s v="155"/>
    <x v="1"/>
  </r>
  <r>
    <s v="CUST0118"/>
    <x v="5"/>
    <x v="4"/>
    <n v="22306.58"/>
    <n v="2"/>
    <n v="4"/>
    <n v="5"/>
    <s v="245"/>
    <x v="1"/>
  </r>
  <r>
    <s v="CUST0001"/>
    <x v="0"/>
    <x v="0"/>
    <n v="4046.4"/>
    <n v="4"/>
    <n v="3"/>
    <n v="3"/>
    <s v="433"/>
    <x v="0"/>
  </r>
  <r>
    <s v="CUST0196"/>
    <x v="6"/>
    <x v="4"/>
    <n v="11218.89"/>
    <n v="4"/>
    <n v="4"/>
    <n v="4"/>
    <s v="444"/>
    <x v="0"/>
  </r>
  <r>
    <s v="CUST0055"/>
    <x v="7"/>
    <x v="0"/>
    <n v="9473.6400000000012"/>
    <n v="1"/>
    <n v="3"/>
    <n v="4"/>
    <s v="134"/>
    <x v="2"/>
  </r>
  <r>
    <s v="CUST0101"/>
    <x v="8"/>
    <x v="5"/>
    <n v="26656.27"/>
    <n v="4"/>
    <n v="5"/>
    <n v="5"/>
    <s v="455"/>
    <x v="0"/>
  </r>
  <r>
    <s v="CUST0010"/>
    <x v="9"/>
    <x v="2"/>
    <n v="14973.86"/>
    <n v="5"/>
    <n v="5"/>
    <n v="4"/>
    <s v="554"/>
    <x v="3"/>
  </r>
  <r>
    <s v="CUST0078"/>
    <x v="10"/>
    <x v="3"/>
    <n v="17526"/>
    <n v="5"/>
    <n v="4"/>
    <n v="5"/>
    <s v="545"/>
    <x v="3"/>
  </r>
  <r>
    <s v="CUST0060"/>
    <x v="11"/>
    <x v="1"/>
    <n v="15878.810000000001"/>
    <n v="3"/>
    <n v="4"/>
    <n v="5"/>
    <s v="345"/>
    <x v="1"/>
  </r>
  <r>
    <s v="CUST0185"/>
    <x v="12"/>
    <x v="3"/>
    <n v="8928.58"/>
    <n v="4"/>
    <n v="4"/>
    <n v="4"/>
    <s v="444"/>
    <x v="0"/>
  </r>
  <r>
    <s v="CUST0083"/>
    <x v="13"/>
    <x v="1"/>
    <n v="15272.029999999999"/>
    <n v="4"/>
    <n v="4"/>
    <n v="5"/>
    <s v="445"/>
    <x v="0"/>
  </r>
  <r>
    <s v="CUST0018"/>
    <x v="14"/>
    <x v="4"/>
    <n v="12704.480000000001"/>
    <n v="2"/>
    <n v="4"/>
    <n v="4"/>
    <s v="244"/>
    <x v="2"/>
  </r>
  <r>
    <s v="CUST0029"/>
    <x v="15"/>
    <x v="5"/>
    <n v="28255.459999999995"/>
    <n v="5"/>
    <n v="5"/>
    <n v="5"/>
    <s v="555"/>
    <x v="4"/>
  </r>
  <r>
    <s v="CUST0116"/>
    <x v="16"/>
    <x v="2"/>
    <n v="18369.060000000001"/>
    <n v="1"/>
    <n v="5"/>
    <n v="5"/>
    <s v="155"/>
    <x v="1"/>
  </r>
  <r>
    <s v="CUST0149"/>
    <x v="17"/>
    <x v="3"/>
    <n v="15648.099999999999"/>
    <n v="5"/>
    <n v="4"/>
    <n v="5"/>
    <s v="545"/>
    <x v="3"/>
  </r>
  <r>
    <s v="CUST0082"/>
    <x v="18"/>
    <x v="6"/>
    <n v="31724.690000000002"/>
    <n v="1"/>
    <n v="5"/>
    <n v="5"/>
    <s v="155"/>
    <x v="1"/>
  </r>
  <r>
    <s v="CUST0102"/>
    <x v="19"/>
    <x v="3"/>
    <n v="10201.629999999999"/>
    <n v="1"/>
    <n v="4"/>
    <n v="4"/>
    <s v="144"/>
    <x v="2"/>
  </r>
  <r>
    <s v="CUST0125"/>
    <x v="6"/>
    <x v="7"/>
    <n v="4266.95"/>
    <n v="4"/>
    <n v="2"/>
    <n v="3"/>
    <s v="423"/>
    <x v="0"/>
  </r>
  <r>
    <s v="CUST0020"/>
    <x v="20"/>
    <x v="3"/>
    <n v="12465.169999999998"/>
    <n v="3"/>
    <n v="4"/>
    <n v="4"/>
    <s v="344"/>
    <x v="5"/>
  </r>
  <r>
    <s v="CUST0081"/>
    <x v="5"/>
    <x v="8"/>
    <n v="7388.67"/>
    <n v="2"/>
    <n v="3"/>
    <n v="3"/>
    <s v="233"/>
    <x v="2"/>
  </r>
  <r>
    <s v="CUST0040"/>
    <x v="21"/>
    <x v="3"/>
    <n v="16926.810000000001"/>
    <n v="2"/>
    <n v="4"/>
    <n v="5"/>
    <s v="245"/>
    <x v="1"/>
  </r>
  <r>
    <s v="CUST0037"/>
    <x v="22"/>
    <x v="1"/>
    <n v="14141.79"/>
    <n v="2"/>
    <n v="4"/>
    <n v="4"/>
    <s v="244"/>
    <x v="2"/>
  </r>
  <r>
    <s v="CUST0165"/>
    <x v="23"/>
    <x v="3"/>
    <n v="7850.420000000001"/>
    <n v="5"/>
    <n v="4"/>
    <n v="3"/>
    <s v="543"/>
    <x v="3"/>
  </r>
  <r>
    <s v="CUST0130"/>
    <x v="7"/>
    <x v="1"/>
    <n v="15367"/>
    <n v="1"/>
    <n v="4"/>
    <n v="5"/>
    <s v="145"/>
    <x v="1"/>
  </r>
  <r>
    <s v="CUST0068"/>
    <x v="24"/>
    <x v="4"/>
    <n v="13486.239999999998"/>
    <n v="4"/>
    <n v="4"/>
    <n v="4"/>
    <s v="444"/>
    <x v="0"/>
  </r>
  <r>
    <s v="CUST0069"/>
    <x v="25"/>
    <x v="3"/>
    <n v="14925.32"/>
    <n v="1"/>
    <n v="4"/>
    <n v="4"/>
    <s v="144"/>
    <x v="2"/>
  </r>
  <r>
    <s v="CUST0103"/>
    <x v="26"/>
    <x v="3"/>
    <n v="13434.000000000002"/>
    <n v="4"/>
    <n v="4"/>
    <n v="4"/>
    <s v="444"/>
    <x v="0"/>
  </r>
  <r>
    <s v="CUST0091"/>
    <x v="27"/>
    <x v="2"/>
    <n v="21433.210000000003"/>
    <n v="2"/>
    <n v="5"/>
    <n v="5"/>
    <s v="255"/>
    <x v="1"/>
  </r>
  <r>
    <s v="CUST0048"/>
    <x v="28"/>
    <x v="8"/>
    <n v="9976.5799999999981"/>
    <n v="4"/>
    <n v="3"/>
    <n v="4"/>
    <s v="434"/>
    <x v="0"/>
  </r>
  <r>
    <s v="CUST0054"/>
    <x v="5"/>
    <x v="0"/>
    <n v="7069.5499999999993"/>
    <n v="2"/>
    <n v="3"/>
    <n v="3"/>
    <s v="233"/>
    <x v="2"/>
  </r>
  <r>
    <s v="CUST0169"/>
    <x v="29"/>
    <x v="2"/>
    <n v="26031.879999999997"/>
    <n v="2"/>
    <n v="5"/>
    <n v="5"/>
    <s v="255"/>
    <x v="1"/>
  </r>
  <r>
    <s v="CUST0104"/>
    <x v="30"/>
    <x v="4"/>
    <n v="13867.54"/>
    <n v="3"/>
    <n v="4"/>
    <n v="4"/>
    <s v="344"/>
    <x v="5"/>
  </r>
  <r>
    <s v="CUST0050"/>
    <x v="31"/>
    <x v="8"/>
    <n v="10607.82"/>
    <n v="2"/>
    <n v="3"/>
    <n v="4"/>
    <s v="234"/>
    <x v="2"/>
  </r>
  <r>
    <s v="CUST0005"/>
    <x v="32"/>
    <x v="3"/>
    <n v="20797.71"/>
    <n v="4"/>
    <n v="4"/>
    <n v="5"/>
    <s v="445"/>
    <x v="0"/>
  </r>
  <r>
    <s v="CUST0140"/>
    <x v="33"/>
    <x v="8"/>
    <n v="3307.8999999999996"/>
    <n v="2"/>
    <n v="3"/>
    <n v="3"/>
    <s v="233"/>
    <x v="2"/>
  </r>
  <r>
    <s v="CUST0064"/>
    <x v="34"/>
    <x v="0"/>
    <n v="10536.55"/>
    <n v="5"/>
    <n v="3"/>
    <n v="4"/>
    <s v="534"/>
    <x v="0"/>
  </r>
  <r>
    <s v="CUST0111"/>
    <x v="35"/>
    <x v="3"/>
    <n v="8131.4800000000005"/>
    <n v="3"/>
    <n v="4"/>
    <n v="4"/>
    <s v="344"/>
    <x v="5"/>
  </r>
  <r>
    <s v="CUST0192"/>
    <x v="36"/>
    <x v="0"/>
    <n v="7683.09"/>
    <n v="1"/>
    <n v="3"/>
    <n v="3"/>
    <s v="133"/>
    <x v="2"/>
  </r>
  <r>
    <s v="CUST0012"/>
    <x v="37"/>
    <x v="0"/>
    <n v="7671.73"/>
    <n v="4"/>
    <n v="3"/>
    <n v="3"/>
    <s v="433"/>
    <x v="0"/>
  </r>
  <r>
    <s v="CUST0150"/>
    <x v="34"/>
    <x v="5"/>
    <n v="19213.210000000003"/>
    <n v="5"/>
    <n v="5"/>
    <n v="5"/>
    <s v="555"/>
    <x v="4"/>
  </r>
  <r>
    <s v="CUST0063"/>
    <x v="30"/>
    <x v="0"/>
    <n v="7521.6900000000005"/>
    <n v="3"/>
    <n v="3"/>
    <n v="3"/>
    <s v="333"/>
    <x v="5"/>
  </r>
  <r>
    <s v="CUST0041"/>
    <x v="38"/>
    <x v="0"/>
    <n v="16464.14"/>
    <n v="4"/>
    <n v="3"/>
    <n v="5"/>
    <s v="435"/>
    <x v="0"/>
  </r>
  <r>
    <s v="CUST0024"/>
    <x v="39"/>
    <x v="2"/>
    <n v="19479.400000000001"/>
    <n v="5"/>
    <n v="5"/>
    <n v="5"/>
    <s v="555"/>
    <x v="4"/>
  </r>
  <r>
    <s v="CUST0188"/>
    <x v="40"/>
    <x v="2"/>
    <n v="17738.21"/>
    <n v="2"/>
    <n v="5"/>
    <n v="5"/>
    <s v="255"/>
    <x v="1"/>
  </r>
  <r>
    <s v="CUST0034"/>
    <x v="41"/>
    <x v="8"/>
    <n v="7147.76"/>
    <n v="4"/>
    <n v="3"/>
    <n v="3"/>
    <s v="433"/>
    <x v="0"/>
  </r>
  <r>
    <s v="CUST0107"/>
    <x v="42"/>
    <x v="0"/>
    <n v="5896.25"/>
    <n v="1"/>
    <n v="3"/>
    <n v="3"/>
    <s v="133"/>
    <x v="2"/>
  </r>
  <r>
    <s v="CUST0092"/>
    <x v="33"/>
    <x v="4"/>
    <n v="16001.03"/>
    <n v="2"/>
    <n v="4"/>
    <n v="5"/>
    <s v="245"/>
    <x v="1"/>
  </r>
  <r>
    <s v="CUST0073"/>
    <x v="12"/>
    <x v="8"/>
    <n v="3902.7499999999995"/>
    <n v="4"/>
    <n v="3"/>
    <n v="3"/>
    <s v="433"/>
    <x v="0"/>
  </r>
  <r>
    <s v="CUST0019"/>
    <x v="43"/>
    <x v="3"/>
    <n v="14592.960000000001"/>
    <n v="1"/>
    <n v="4"/>
    <n v="4"/>
    <s v="144"/>
    <x v="2"/>
  </r>
  <r>
    <s v="CUST0178"/>
    <x v="44"/>
    <x v="4"/>
    <n v="22777.739999999998"/>
    <n v="1"/>
    <n v="4"/>
    <n v="5"/>
    <s v="145"/>
    <x v="1"/>
  </r>
  <r>
    <s v="CUST0065"/>
    <x v="45"/>
    <x v="1"/>
    <n v="16188.210000000001"/>
    <n v="1"/>
    <n v="4"/>
    <n v="5"/>
    <s v="145"/>
    <x v="1"/>
  </r>
  <r>
    <s v="CUST0053"/>
    <x v="42"/>
    <x v="1"/>
    <n v="19183.54"/>
    <n v="1"/>
    <n v="4"/>
    <n v="5"/>
    <s v="145"/>
    <x v="1"/>
  </r>
  <r>
    <s v="CUST0067"/>
    <x v="25"/>
    <x v="8"/>
    <n v="12798.16"/>
    <n v="1"/>
    <n v="3"/>
    <n v="4"/>
    <s v="134"/>
    <x v="2"/>
  </r>
  <r>
    <s v="CUST0007"/>
    <x v="46"/>
    <x v="2"/>
    <n v="16337.51"/>
    <n v="5"/>
    <n v="5"/>
    <n v="5"/>
    <s v="555"/>
    <x v="4"/>
  </r>
  <r>
    <s v="CUST0160"/>
    <x v="32"/>
    <x v="2"/>
    <n v="18073.73"/>
    <n v="4"/>
    <n v="5"/>
    <n v="5"/>
    <s v="455"/>
    <x v="0"/>
  </r>
  <r>
    <s v="CUST0093"/>
    <x v="30"/>
    <x v="0"/>
    <n v="11673.11"/>
    <n v="3"/>
    <n v="3"/>
    <n v="4"/>
    <s v="334"/>
    <x v="5"/>
  </r>
  <r>
    <s v="CUST0080"/>
    <x v="47"/>
    <x v="4"/>
    <n v="17886.640000000003"/>
    <n v="5"/>
    <n v="4"/>
    <n v="5"/>
    <s v="545"/>
    <x v="3"/>
  </r>
  <r>
    <s v="CUST0015"/>
    <x v="48"/>
    <x v="2"/>
    <n v="18005.170000000002"/>
    <n v="3"/>
    <n v="5"/>
    <n v="5"/>
    <s v="355"/>
    <x v="1"/>
  </r>
  <r>
    <s v="CUST0088"/>
    <x v="49"/>
    <x v="0"/>
    <n v="7849.11"/>
    <n v="1"/>
    <n v="3"/>
    <n v="3"/>
    <s v="133"/>
    <x v="2"/>
  </r>
  <r>
    <s v="CUST0134"/>
    <x v="50"/>
    <x v="5"/>
    <n v="26846.429999999997"/>
    <n v="4"/>
    <n v="5"/>
    <n v="5"/>
    <s v="455"/>
    <x v="0"/>
  </r>
  <r>
    <s v="CUST0131"/>
    <x v="51"/>
    <x v="1"/>
    <n v="19463.050000000003"/>
    <n v="1"/>
    <n v="4"/>
    <n v="5"/>
    <s v="145"/>
    <x v="1"/>
  </r>
  <r>
    <s v="CUST0190"/>
    <x v="52"/>
    <x v="3"/>
    <n v="12065.39"/>
    <n v="2"/>
    <n v="4"/>
    <n v="4"/>
    <s v="244"/>
    <x v="2"/>
  </r>
  <r>
    <s v="CUST0152"/>
    <x v="53"/>
    <x v="5"/>
    <n v="25572.99"/>
    <n v="1"/>
    <n v="5"/>
    <n v="5"/>
    <s v="155"/>
    <x v="1"/>
  </r>
  <r>
    <s v="CUST0023"/>
    <x v="54"/>
    <x v="1"/>
    <n v="20752.12"/>
    <n v="4"/>
    <n v="4"/>
    <n v="5"/>
    <s v="445"/>
    <x v="0"/>
  </r>
  <r>
    <s v="CUST0197"/>
    <x v="30"/>
    <x v="4"/>
    <n v="13036.5"/>
    <n v="3"/>
    <n v="4"/>
    <n v="4"/>
    <s v="344"/>
    <x v="5"/>
  </r>
  <r>
    <s v="CUST0072"/>
    <x v="55"/>
    <x v="2"/>
    <n v="17454.310000000001"/>
    <n v="1"/>
    <n v="5"/>
    <n v="5"/>
    <s v="155"/>
    <x v="1"/>
  </r>
  <r>
    <s v="CUST0100"/>
    <x v="16"/>
    <x v="4"/>
    <n v="17414.32"/>
    <n v="1"/>
    <n v="4"/>
    <n v="5"/>
    <s v="145"/>
    <x v="1"/>
  </r>
  <r>
    <s v="CUST0153"/>
    <x v="56"/>
    <x v="5"/>
    <n v="23216.74"/>
    <n v="1"/>
    <n v="5"/>
    <n v="5"/>
    <s v="155"/>
    <x v="1"/>
  </r>
  <r>
    <s v="CUST0194"/>
    <x v="57"/>
    <x v="2"/>
    <n v="23065.079999999998"/>
    <n v="3"/>
    <n v="5"/>
    <n v="5"/>
    <s v="355"/>
    <x v="1"/>
  </r>
  <r>
    <s v="CUST0113"/>
    <x v="58"/>
    <x v="8"/>
    <n v="6137.85"/>
    <n v="3"/>
    <n v="3"/>
    <n v="3"/>
    <s v="333"/>
    <x v="5"/>
  </r>
  <r>
    <s v="CUST0074"/>
    <x v="39"/>
    <x v="9"/>
    <n v="3076.3"/>
    <n v="5"/>
    <n v="1"/>
    <n v="3"/>
    <s v="513"/>
    <x v="0"/>
  </r>
  <r>
    <s v="CUST0075"/>
    <x v="59"/>
    <x v="8"/>
    <n v="2160.6999999999998"/>
    <n v="2"/>
    <n v="3"/>
    <n v="2"/>
    <s v="232"/>
    <x v="2"/>
  </r>
  <r>
    <s v="CUST0179"/>
    <x v="60"/>
    <x v="0"/>
    <n v="7065.9400000000005"/>
    <n v="1"/>
    <n v="3"/>
    <n v="3"/>
    <s v="133"/>
    <x v="2"/>
  </r>
  <r>
    <s v="CUST0003"/>
    <x v="14"/>
    <x v="5"/>
    <n v="25746.49"/>
    <n v="2"/>
    <n v="5"/>
    <n v="5"/>
    <s v="255"/>
    <x v="1"/>
  </r>
  <r>
    <s v="CUST0164"/>
    <x v="61"/>
    <x v="0"/>
    <n v="9188.34"/>
    <n v="5"/>
    <n v="3"/>
    <n v="4"/>
    <s v="534"/>
    <x v="0"/>
  </r>
  <r>
    <s v="CUST0044"/>
    <x v="62"/>
    <x v="3"/>
    <n v="11858.130000000001"/>
    <n v="1"/>
    <n v="4"/>
    <n v="4"/>
    <s v="144"/>
    <x v="2"/>
  </r>
  <r>
    <s v="CUST0112"/>
    <x v="50"/>
    <x v="1"/>
    <n v="17024.699999999997"/>
    <n v="4"/>
    <n v="4"/>
    <n v="5"/>
    <s v="445"/>
    <x v="0"/>
  </r>
  <r>
    <s v="CUST0174"/>
    <x v="63"/>
    <x v="3"/>
    <n v="10909.27"/>
    <n v="3"/>
    <n v="4"/>
    <n v="4"/>
    <s v="344"/>
    <x v="5"/>
  </r>
  <r>
    <s v="CUST0133"/>
    <x v="16"/>
    <x v="0"/>
    <n v="7584.58"/>
    <n v="1"/>
    <n v="3"/>
    <n v="3"/>
    <s v="133"/>
    <x v="2"/>
  </r>
  <r>
    <s v="CUST0049"/>
    <x v="64"/>
    <x v="1"/>
    <n v="18881.060000000001"/>
    <n v="2"/>
    <n v="4"/>
    <n v="5"/>
    <s v="245"/>
    <x v="1"/>
  </r>
  <r>
    <s v="CUST0058"/>
    <x v="65"/>
    <x v="2"/>
    <n v="17777.769999999997"/>
    <n v="1"/>
    <n v="5"/>
    <n v="5"/>
    <s v="155"/>
    <x v="1"/>
  </r>
  <r>
    <s v="CUST0200"/>
    <x v="66"/>
    <x v="2"/>
    <n v="25869.469999999998"/>
    <n v="4"/>
    <n v="5"/>
    <n v="5"/>
    <s v="455"/>
    <x v="0"/>
  </r>
  <r>
    <s v="CUST0135"/>
    <x v="67"/>
    <x v="7"/>
    <n v="4923.63"/>
    <n v="1"/>
    <n v="2"/>
    <n v="3"/>
    <s v="123"/>
    <x v="2"/>
  </r>
  <r>
    <s v="CUST0011"/>
    <x v="33"/>
    <x v="8"/>
    <n v="11988.87"/>
    <n v="2"/>
    <n v="3"/>
    <n v="4"/>
    <s v="234"/>
    <x v="2"/>
  </r>
  <r>
    <s v="CUST0124"/>
    <x v="68"/>
    <x v="8"/>
    <n v="8590.630000000001"/>
    <n v="1"/>
    <n v="3"/>
    <n v="4"/>
    <s v="134"/>
    <x v="2"/>
  </r>
  <r>
    <s v="CUST0071"/>
    <x v="66"/>
    <x v="2"/>
    <n v="26188.61"/>
    <n v="4"/>
    <n v="5"/>
    <n v="5"/>
    <s v="455"/>
    <x v="0"/>
  </r>
  <r>
    <s v="CUST0046"/>
    <x v="69"/>
    <x v="0"/>
    <n v="9250.619999999999"/>
    <n v="5"/>
    <n v="3"/>
    <n v="4"/>
    <s v="534"/>
    <x v="0"/>
  </r>
  <r>
    <s v="CUST0026"/>
    <x v="70"/>
    <x v="3"/>
    <n v="17673.09"/>
    <n v="1"/>
    <n v="4"/>
    <n v="5"/>
    <s v="145"/>
    <x v="1"/>
  </r>
  <r>
    <s v="CUST0157"/>
    <x v="71"/>
    <x v="8"/>
    <n v="5544.41"/>
    <n v="5"/>
    <n v="3"/>
    <n v="3"/>
    <s v="533"/>
    <x v="0"/>
  </r>
  <r>
    <s v="CUST0070"/>
    <x v="42"/>
    <x v="8"/>
    <n v="9698.58"/>
    <n v="1"/>
    <n v="3"/>
    <n v="4"/>
    <s v="134"/>
    <x v="2"/>
  </r>
  <r>
    <s v="CUST0117"/>
    <x v="72"/>
    <x v="3"/>
    <n v="8871.14"/>
    <n v="1"/>
    <n v="4"/>
    <n v="4"/>
    <s v="144"/>
    <x v="2"/>
  </r>
  <r>
    <s v="CUST0199"/>
    <x v="73"/>
    <x v="6"/>
    <n v="25671.869999999995"/>
    <n v="2"/>
    <n v="5"/>
    <n v="5"/>
    <s v="255"/>
    <x v="1"/>
  </r>
  <r>
    <s v="CUST0098"/>
    <x v="22"/>
    <x v="5"/>
    <n v="21139.32"/>
    <n v="2"/>
    <n v="5"/>
    <n v="5"/>
    <s v="255"/>
    <x v="1"/>
  </r>
  <r>
    <s v="CUST0129"/>
    <x v="74"/>
    <x v="3"/>
    <n v="8195.7999999999993"/>
    <n v="1"/>
    <n v="4"/>
    <n v="4"/>
    <s v="144"/>
    <x v="2"/>
  </r>
  <r>
    <s v="CUST0076"/>
    <x v="75"/>
    <x v="8"/>
    <n v="4971.5200000000004"/>
    <n v="1"/>
    <n v="3"/>
    <n v="3"/>
    <s v="133"/>
    <x v="2"/>
  </r>
  <r>
    <s v="CUST0025"/>
    <x v="30"/>
    <x v="8"/>
    <n v="10297.619999999999"/>
    <n v="3"/>
    <n v="3"/>
    <n v="4"/>
    <s v="334"/>
    <x v="5"/>
  </r>
  <r>
    <s v="CUST0043"/>
    <x v="76"/>
    <x v="2"/>
    <n v="15024.830000000002"/>
    <n v="3"/>
    <n v="5"/>
    <n v="5"/>
    <s v="355"/>
    <x v="1"/>
  </r>
  <r>
    <s v="CUST0123"/>
    <x v="77"/>
    <x v="0"/>
    <n v="11057.599999999999"/>
    <n v="3"/>
    <n v="3"/>
    <n v="4"/>
    <s v="334"/>
    <x v="5"/>
  </r>
  <r>
    <s v="CUST0095"/>
    <x v="2"/>
    <x v="8"/>
    <n v="7666.58"/>
    <n v="1"/>
    <n v="3"/>
    <n v="3"/>
    <s v="133"/>
    <x v="2"/>
  </r>
  <r>
    <s v="CUST0051"/>
    <x v="78"/>
    <x v="4"/>
    <n v="24724.479999999996"/>
    <n v="4"/>
    <n v="4"/>
    <n v="5"/>
    <s v="445"/>
    <x v="0"/>
  </r>
  <r>
    <s v="CUST0126"/>
    <x v="79"/>
    <x v="8"/>
    <n v="8553.98"/>
    <n v="2"/>
    <n v="3"/>
    <n v="4"/>
    <s v="234"/>
    <x v="2"/>
  </r>
  <r>
    <s v="CUST0061"/>
    <x v="62"/>
    <x v="0"/>
    <n v="12321.09"/>
    <n v="1"/>
    <n v="3"/>
    <n v="4"/>
    <s v="134"/>
    <x v="2"/>
  </r>
  <r>
    <s v="CUST0030"/>
    <x v="57"/>
    <x v="0"/>
    <n v="6410.9"/>
    <n v="3"/>
    <n v="3"/>
    <n v="3"/>
    <s v="333"/>
    <x v="5"/>
  </r>
  <r>
    <s v="CUST0039"/>
    <x v="80"/>
    <x v="8"/>
    <n v="6701.7199999999993"/>
    <n v="1"/>
    <n v="3"/>
    <n v="3"/>
    <s v="133"/>
    <x v="2"/>
  </r>
  <r>
    <s v="CUST0163"/>
    <x v="17"/>
    <x v="7"/>
    <n v="3306.54"/>
    <n v="5"/>
    <n v="2"/>
    <n v="3"/>
    <s v="523"/>
    <x v="0"/>
  </r>
  <r>
    <s v="CUST0155"/>
    <x v="81"/>
    <x v="3"/>
    <n v="15915.029999999999"/>
    <n v="2"/>
    <n v="4"/>
    <n v="5"/>
    <s v="245"/>
    <x v="1"/>
  </r>
  <r>
    <s v="CUST0147"/>
    <x v="82"/>
    <x v="4"/>
    <n v="15977.87"/>
    <n v="2"/>
    <n v="4"/>
    <n v="5"/>
    <s v="245"/>
    <x v="1"/>
  </r>
  <r>
    <s v="CUST0009"/>
    <x v="83"/>
    <x v="1"/>
    <n v="11768.47"/>
    <n v="1"/>
    <n v="4"/>
    <n v="4"/>
    <s v="144"/>
    <x v="2"/>
  </r>
  <r>
    <s v="CUST0022"/>
    <x v="80"/>
    <x v="9"/>
    <n v="1705.98"/>
    <n v="1"/>
    <n v="1"/>
    <n v="2"/>
    <s v="112"/>
    <x v="2"/>
  </r>
  <r>
    <s v="CUST0062"/>
    <x v="84"/>
    <x v="0"/>
    <n v="7869.22"/>
    <n v="1"/>
    <n v="3"/>
    <n v="3"/>
    <s v="133"/>
    <x v="2"/>
  </r>
  <r>
    <s v="CUST0191"/>
    <x v="85"/>
    <x v="5"/>
    <n v="20783.980000000003"/>
    <n v="3"/>
    <n v="5"/>
    <n v="5"/>
    <s v="355"/>
    <x v="1"/>
  </r>
  <r>
    <s v="CUST0109"/>
    <x v="75"/>
    <x v="2"/>
    <n v="17921.13"/>
    <n v="1"/>
    <n v="5"/>
    <n v="5"/>
    <s v="155"/>
    <x v="1"/>
  </r>
  <r>
    <s v="CUST0119"/>
    <x v="86"/>
    <x v="7"/>
    <n v="3100.54"/>
    <n v="4"/>
    <n v="2"/>
    <n v="3"/>
    <s v="423"/>
    <x v="0"/>
  </r>
  <r>
    <s v="CUST0142"/>
    <x v="87"/>
    <x v="4"/>
    <n v="18451.589999999997"/>
    <n v="1"/>
    <n v="4"/>
    <n v="5"/>
    <s v="145"/>
    <x v="1"/>
  </r>
  <r>
    <s v="CUST0141"/>
    <x v="88"/>
    <x v="5"/>
    <n v="16018.710000000003"/>
    <n v="3"/>
    <n v="5"/>
    <n v="5"/>
    <s v="355"/>
    <x v="1"/>
  </r>
  <r>
    <s v="CUST0077"/>
    <x v="89"/>
    <x v="3"/>
    <n v="8916.159999999998"/>
    <n v="3"/>
    <n v="4"/>
    <n v="4"/>
    <s v="344"/>
    <x v="5"/>
  </r>
  <r>
    <s v="CUST0132"/>
    <x v="51"/>
    <x v="3"/>
    <n v="9999.56"/>
    <n v="1"/>
    <n v="4"/>
    <n v="4"/>
    <s v="144"/>
    <x v="2"/>
  </r>
  <r>
    <s v="CUST0105"/>
    <x v="90"/>
    <x v="7"/>
    <n v="5651.98"/>
    <n v="1"/>
    <n v="2"/>
    <n v="3"/>
    <s v="123"/>
    <x v="2"/>
  </r>
  <r>
    <s v="CUST0138"/>
    <x v="91"/>
    <x v="1"/>
    <n v="14570.18"/>
    <n v="3"/>
    <n v="4"/>
    <n v="4"/>
    <s v="344"/>
    <x v="5"/>
  </r>
  <r>
    <s v="CUST0189"/>
    <x v="92"/>
    <x v="8"/>
    <n v="4818.72"/>
    <n v="4"/>
    <n v="3"/>
    <n v="3"/>
    <s v="433"/>
    <x v="0"/>
  </r>
  <r>
    <s v="CUST0110"/>
    <x v="93"/>
    <x v="2"/>
    <n v="20768.28"/>
    <n v="1"/>
    <n v="5"/>
    <n v="5"/>
    <s v="155"/>
    <x v="1"/>
  </r>
  <r>
    <s v="CUST0158"/>
    <x v="94"/>
    <x v="1"/>
    <n v="18252.46"/>
    <n v="4"/>
    <n v="4"/>
    <n v="5"/>
    <s v="445"/>
    <x v="0"/>
  </r>
  <r>
    <s v="CUST0172"/>
    <x v="95"/>
    <x v="5"/>
    <n v="19913.96"/>
    <n v="2"/>
    <n v="5"/>
    <n v="5"/>
    <s v="255"/>
    <x v="1"/>
  </r>
  <r>
    <s v="CUST0002"/>
    <x v="7"/>
    <x v="4"/>
    <n v="17291.96"/>
    <n v="1"/>
    <n v="4"/>
    <n v="5"/>
    <s v="145"/>
    <x v="1"/>
  </r>
  <r>
    <s v="CUST0057"/>
    <x v="12"/>
    <x v="3"/>
    <n v="14013.36"/>
    <n v="4"/>
    <n v="4"/>
    <n v="4"/>
    <s v="444"/>
    <x v="0"/>
  </r>
  <r>
    <s v="CUST0168"/>
    <x v="92"/>
    <x v="8"/>
    <n v="3864.3500000000004"/>
    <n v="4"/>
    <n v="3"/>
    <n v="3"/>
    <s v="433"/>
    <x v="0"/>
  </r>
  <r>
    <s v="CUST0167"/>
    <x v="81"/>
    <x v="1"/>
    <n v="12410.64"/>
    <n v="2"/>
    <n v="4"/>
    <n v="4"/>
    <s v="244"/>
    <x v="2"/>
  </r>
  <r>
    <s v="CUST0047"/>
    <x v="39"/>
    <x v="1"/>
    <n v="19390.330000000002"/>
    <n v="5"/>
    <n v="4"/>
    <n v="5"/>
    <s v="545"/>
    <x v="3"/>
  </r>
  <r>
    <s v="CUST0045"/>
    <x v="96"/>
    <x v="0"/>
    <n v="10908.300000000003"/>
    <n v="2"/>
    <n v="3"/>
    <n v="4"/>
    <s v="234"/>
    <x v="2"/>
  </r>
  <r>
    <s v="CUST0154"/>
    <x v="18"/>
    <x v="8"/>
    <n v="8062.6"/>
    <n v="1"/>
    <n v="3"/>
    <n v="4"/>
    <s v="134"/>
    <x v="2"/>
  </r>
  <r>
    <s v="CUST0145"/>
    <x v="5"/>
    <x v="1"/>
    <n v="21343.09"/>
    <n v="2"/>
    <n v="4"/>
    <n v="5"/>
    <s v="245"/>
    <x v="1"/>
  </r>
  <r>
    <s v="CUST0136"/>
    <x v="10"/>
    <x v="3"/>
    <n v="10454.130000000001"/>
    <n v="5"/>
    <n v="4"/>
    <n v="4"/>
    <s v="544"/>
    <x v="3"/>
  </r>
  <r>
    <s v="CUST0173"/>
    <x v="40"/>
    <x v="2"/>
    <n v="21846.560000000001"/>
    <n v="2"/>
    <n v="5"/>
    <n v="5"/>
    <s v="255"/>
    <x v="1"/>
  </r>
  <r>
    <s v="CUST0036"/>
    <x v="88"/>
    <x v="3"/>
    <n v="10985.26"/>
    <n v="3"/>
    <n v="4"/>
    <n v="4"/>
    <s v="344"/>
    <x v="5"/>
  </r>
  <r>
    <s v="CUST0028"/>
    <x v="97"/>
    <x v="4"/>
    <n v="19843.41"/>
    <n v="1"/>
    <n v="4"/>
    <n v="5"/>
    <s v="145"/>
    <x v="1"/>
  </r>
  <r>
    <s v="CUST0146"/>
    <x v="98"/>
    <x v="2"/>
    <n v="25584.960000000003"/>
    <n v="5"/>
    <n v="5"/>
    <n v="5"/>
    <s v="555"/>
    <x v="4"/>
  </r>
  <r>
    <s v="CUST0162"/>
    <x v="99"/>
    <x v="3"/>
    <n v="11965.71"/>
    <n v="2"/>
    <n v="4"/>
    <n v="4"/>
    <s v="244"/>
    <x v="2"/>
  </r>
  <r>
    <s v="CUST0122"/>
    <x v="9"/>
    <x v="8"/>
    <n v="3589.76"/>
    <n v="5"/>
    <n v="3"/>
    <n v="3"/>
    <s v="533"/>
    <x v="0"/>
  </r>
  <r>
    <s v="CUST0056"/>
    <x v="19"/>
    <x v="7"/>
    <n v="6737.08"/>
    <n v="1"/>
    <n v="2"/>
    <n v="3"/>
    <s v="123"/>
    <x v="2"/>
  </r>
  <r>
    <s v="CUST0187"/>
    <x v="50"/>
    <x v="8"/>
    <n v="6556.28"/>
    <n v="4"/>
    <n v="3"/>
    <n v="3"/>
    <s v="433"/>
    <x v="0"/>
  </r>
  <r>
    <s v="CUST0027"/>
    <x v="51"/>
    <x v="3"/>
    <n v="13483.550000000001"/>
    <n v="1"/>
    <n v="4"/>
    <n v="4"/>
    <s v="144"/>
    <x v="2"/>
  </r>
  <r>
    <s v="CUST0183"/>
    <x v="100"/>
    <x v="3"/>
    <n v="16638.96"/>
    <n v="1"/>
    <n v="4"/>
    <n v="5"/>
    <s v="145"/>
    <x v="1"/>
  </r>
  <r>
    <s v="CUST0038"/>
    <x v="53"/>
    <x v="4"/>
    <n v="19032.550000000003"/>
    <n v="1"/>
    <n v="4"/>
    <n v="5"/>
    <s v="145"/>
    <x v="1"/>
  </r>
  <r>
    <s v="CUST0031"/>
    <x v="1"/>
    <x v="4"/>
    <n v="22333.059999999998"/>
    <n v="4"/>
    <n v="4"/>
    <n v="5"/>
    <s v="445"/>
    <x v="0"/>
  </r>
  <r>
    <s v="CUST0182"/>
    <x v="101"/>
    <x v="8"/>
    <n v="2400.79"/>
    <n v="2"/>
    <n v="3"/>
    <n v="2"/>
    <s v="232"/>
    <x v="2"/>
  </r>
  <r>
    <s v="CUST0156"/>
    <x v="102"/>
    <x v="7"/>
    <n v="5486.38"/>
    <n v="4"/>
    <n v="2"/>
    <n v="3"/>
    <s v="423"/>
    <x v="0"/>
  </r>
  <r>
    <s v="CUST0181"/>
    <x v="0"/>
    <x v="4"/>
    <n v="20123.800000000003"/>
    <n v="4"/>
    <n v="4"/>
    <n v="5"/>
    <s v="445"/>
    <x v="0"/>
  </r>
  <r>
    <s v="CUST0114"/>
    <x v="33"/>
    <x v="2"/>
    <n v="17663.25"/>
    <n v="2"/>
    <n v="5"/>
    <n v="5"/>
    <s v="255"/>
    <x v="1"/>
  </r>
  <r>
    <s v="CUST0139"/>
    <x v="103"/>
    <x v="1"/>
    <n v="15996.11"/>
    <n v="5"/>
    <n v="4"/>
    <n v="5"/>
    <s v="545"/>
    <x v="3"/>
  </r>
  <r>
    <s v="CUST0195"/>
    <x v="86"/>
    <x v="7"/>
    <n v="4575.12"/>
    <n v="4"/>
    <n v="2"/>
    <n v="3"/>
    <s v="423"/>
    <x v="0"/>
  </r>
  <r>
    <s v="CUST0059"/>
    <x v="104"/>
    <x v="3"/>
    <n v="8247.0400000000009"/>
    <n v="2"/>
    <n v="4"/>
    <n v="4"/>
    <s v="244"/>
    <x v="2"/>
  </r>
  <r>
    <s v="CUST0008"/>
    <x v="105"/>
    <x v="8"/>
    <n v="7842.8499999999995"/>
    <n v="1"/>
    <n v="3"/>
    <n v="3"/>
    <s v="133"/>
    <x v="2"/>
  </r>
  <r>
    <s v="CUST0090"/>
    <x v="106"/>
    <x v="8"/>
    <n v="11840.240000000002"/>
    <n v="1"/>
    <n v="3"/>
    <n v="4"/>
    <s v="134"/>
    <x v="2"/>
  </r>
  <r>
    <s v="CUST0017"/>
    <x v="107"/>
    <x v="2"/>
    <n v="23856.449999999997"/>
    <n v="2"/>
    <n v="5"/>
    <n v="5"/>
    <s v="255"/>
    <x v="1"/>
  </r>
  <r>
    <s v="CUST0013"/>
    <x v="108"/>
    <x v="3"/>
    <n v="10530.79"/>
    <n v="1"/>
    <n v="4"/>
    <n v="4"/>
    <s v="144"/>
    <x v="2"/>
  </r>
  <r>
    <s v="CUST0120"/>
    <x v="109"/>
    <x v="3"/>
    <n v="12701.349999999999"/>
    <n v="5"/>
    <n v="4"/>
    <n v="4"/>
    <s v="544"/>
    <x v="3"/>
  </r>
  <r>
    <s v="CUST0143"/>
    <x v="46"/>
    <x v="7"/>
    <n v="7998.47"/>
    <n v="5"/>
    <n v="2"/>
    <n v="3"/>
    <s v="523"/>
    <x v="0"/>
  </r>
  <r>
    <s v="CUST0137"/>
    <x v="110"/>
    <x v="7"/>
    <n v="3143.04"/>
    <n v="3"/>
    <n v="2"/>
    <n v="3"/>
    <s v="323"/>
    <x v="5"/>
  </r>
  <r>
    <s v="CUST0086"/>
    <x v="111"/>
    <x v="8"/>
    <n v="12234.82"/>
    <n v="5"/>
    <n v="3"/>
    <n v="4"/>
    <s v="534"/>
    <x v="0"/>
  </r>
  <r>
    <s v="CUST0016"/>
    <x v="63"/>
    <x v="8"/>
    <n v="12455.35"/>
    <n v="3"/>
    <n v="3"/>
    <n v="4"/>
    <s v="334"/>
    <x v="5"/>
  </r>
  <r>
    <s v="CUST0087"/>
    <x v="70"/>
    <x v="1"/>
    <n v="16159.26"/>
    <n v="1"/>
    <n v="4"/>
    <n v="5"/>
    <s v="145"/>
    <x v="1"/>
  </r>
  <r>
    <s v="CUST0099"/>
    <x v="112"/>
    <x v="0"/>
    <n v="7181.3099999999995"/>
    <n v="1"/>
    <n v="3"/>
    <n v="3"/>
    <s v="133"/>
    <x v="2"/>
  </r>
  <r>
    <s v="CUST0006"/>
    <x v="46"/>
    <x v="8"/>
    <n v="9850"/>
    <n v="5"/>
    <n v="3"/>
    <n v="4"/>
    <s v="534"/>
    <x v="0"/>
  </r>
  <r>
    <s v="CUST0176"/>
    <x v="71"/>
    <x v="4"/>
    <n v="13747.03"/>
    <n v="5"/>
    <n v="4"/>
    <n v="4"/>
    <s v="544"/>
    <x v="3"/>
  </r>
  <r>
    <s v="CUST0161"/>
    <x v="18"/>
    <x v="3"/>
    <n v="13457.300000000001"/>
    <n v="1"/>
    <n v="4"/>
    <n v="4"/>
    <s v="144"/>
    <x v="2"/>
  </r>
  <r>
    <s v="CUST0097"/>
    <x v="79"/>
    <x v="5"/>
    <n v="28253.919999999998"/>
    <n v="2"/>
    <n v="5"/>
    <n v="5"/>
    <s v="255"/>
    <x v="1"/>
  </r>
  <r>
    <s v="CUST0004"/>
    <x v="26"/>
    <x v="8"/>
    <n v="10850.05"/>
    <n v="4"/>
    <n v="3"/>
    <n v="4"/>
    <s v="434"/>
    <x v="0"/>
  </r>
  <r>
    <s v="CUST0159"/>
    <x v="47"/>
    <x v="0"/>
    <n v="8641.5499999999993"/>
    <n v="5"/>
    <n v="3"/>
    <n v="4"/>
    <s v="534"/>
    <x v="0"/>
  </r>
  <r>
    <s v="CUST0079"/>
    <x v="113"/>
    <x v="3"/>
    <n v="13865.3"/>
    <n v="5"/>
    <n v="4"/>
    <n v="4"/>
    <s v="544"/>
    <x v="3"/>
  </r>
  <r>
    <s v="CUST0193"/>
    <x v="114"/>
    <x v="3"/>
    <n v="11521.53"/>
    <n v="5"/>
    <n v="4"/>
    <n v="4"/>
    <s v="544"/>
    <x v="3"/>
  </r>
  <r>
    <s v="CUST0121"/>
    <x v="81"/>
    <x v="8"/>
    <n v="9451.7200000000012"/>
    <n v="2"/>
    <n v="3"/>
    <n v="4"/>
    <s v="234"/>
    <x v="2"/>
  </r>
  <r>
    <s v="CUST0166"/>
    <x v="115"/>
    <x v="5"/>
    <n v="25700.390000000003"/>
    <n v="2"/>
    <n v="5"/>
    <n v="5"/>
    <s v="255"/>
    <x v="1"/>
  </r>
  <r>
    <s v="CUST0084"/>
    <x v="105"/>
    <x v="3"/>
    <n v="15838.490000000002"/>
    <n v="1"/>
    <n v="4"/>
    <n v="5"/>
    <s v="145"/>
    <x v="1"/>
  </r>
  <r>
    <s v="CUST0186"/>
    <x v="26"/>
    <x v="8"/>
    <n v="7950.91"/>
    <n v="4"/>
    <n v="3"/>
    <n v="3"/>
    <s v="433"/>
    <x v="0"/>
  </r>
  <r>
    <s v="CUST0096"/>
    <x v="116"/>
    <x v="9"/>
    <n v="1579.46"/>
    <n v="3"/>
    <n v="1"/>
    <n v="2"/>
    <s v="312"/>
    <x v="5"/>
  </r>
  <r>
    <s v="CUST0106"/>
    <x v="78"/>
    <x v="0"/>
    <n v="10320.549999999999"/>
    <n v="4"/>
    <n v="3"/>
    <n v="4"/>
    <s v="434"/>
    <x v="0"/>
  </r>
  <r>
    <s v="CUST0032"/>
    <x v="117"/>
    <x v="0"/>
    <n v="6880.2199999999993"/>
    <n v="1"/>
    <n v="3"/>
    <n v="3"/>
    <s v="133"/>
    <x v="2"/>
  </r>
  <r>
    <s v="CUST0108"/>
    <x v="6"/>
    <x v="7"/>
    <n v="4761.62"/>
    <n v="4"/>
    <n v="2"/>
    <n v="3"/>
    <s v="423"/>
    <x v="0"/>
  </r>
  <r>
    <s v="CUST0066"/>
    <x v="101"/>
    <x v="0"/>
    <n v="7022.2699999999995"/>
    <n v="2"/>
    <n v="3"/>
    <n v="3"/>
    <s v="233"/>
    <x v="2"/>
  </r>
  <r>
    <s v="CUST0094"/>
    <x v="118"/>
    <x v="7"/>
    <n v="6303.67"/>
    <n v="1"/>
    <n v="2"/>
    <n v="3"/>
    <s v="123"/>
    <x v="2"/>
  </r>
  <r>
    <s v="CUST0144"/>
    <x v="58"/>
    <x v="3"/>
    <n v="8152.7300000000005"/>
    <n v="3"/>
    <n v="4"/>
    <n v="4"/>
    <s v="344"/>
    <x v="5"/>
  </r>
  <r>
    <s v="CUST0184"/>
    <x v="29"/>
    <x v="0"/>
    <n v="7961.75"/>
    <n v="2"/>
    <n v="3"/>
    <n v="3"/>
    <s v="233"/>
    <x v="2"/>
  </r>
  <r>
    <s v="CUST0171"/>
    <x v="92"/>
    <x v="9"/>
    <n v="2624.55"/>
    <n v="4"/>
    <n v="1"/>
    <n v="2"/>
    <s v="412"/>
    <x v="0"/>
  </r>
  <r>
    <s v="CUST0175"/>
    <x v="4"/>
    <x v="8"/>
    <n v="9687.94"/>
    <n v="1"/>
    <n v="3"/>
    <n v="4"/>
    <s v="134"/>
    <x v="2"/>
  </r>
  <r>
    <s v="CUST0198"/>
    <x v="119"/>
    <x v="9"/>
    <n v="3373.25"/>
    <n v="3"/>
    <n v="1"/>
    <n v="3"/>
    <s v="313"/>
    <x v="5"/>
  </r>
  <r>
    <s v="CUST0127"/>
    <x v="49"/>
    <x v="9"/>
    <n v="4482.3900000000003"/>
    <n v="1"/>
    <n v="1"/>
    <n v="3"/>
    <s v="113"/>
    <x v="2"/>
  </r>
  <r>
    <s v="CUST0021"/>
    <x v="58"/>
    <x v="9"/>
    <n v="4598.01"/>
    <n v="3"/>
    <n v="1"/>
    <n v="3"/>
    <s v="313"/>
    <x v="5"/>
  </r>
  <r>
    <s v="CUST0035"/>
    <x v="120"/>
    <x v="7"/>
    <n v="2875.04"/>
    <n v="1"/>
    <n v="2"/>
    <n v="2"/>
    <s v="122"/>
    <x v="2"/>
  </r>
  <r>
    <s v="CUST0085"/>
    <x v="23"/>
    <x v="8"/>
    <n v="5432.33"/>
    <n v="5"/>
    <n v="3"/>
    <n v="3"/>
    <s v="533"/>
    <x v="0"/>
  </r>
  <r>
    <s v="CUST0014"/>
    <x v="121"/>
    <x v="7"/>
    <n v="4733.54"/>
    <n v="2"/>
    <n v="2"/>
    <n v="3"/>
    <s v="223"/>
    <x v="2"/>
  </r>
  <r>
    <s v="CUST0151"/>
    <x v="122"/>
    <x v="7"/>
    <n v="4788.5"/>
    <n v="3"/>
    <n v="2"/>
    <n v="3"/>
    <s v="323"/>
    <x v="5"/>
  </r>
  <r>
    <s v="CUST0033"/>
    <x v="123"/>
    <x v="9"/>
    <n v="339.26"/>
    <n v="1"/>
    <n v="1"/>
    <n v="1"/>
    <s v="111"/>
    <x v="2"/>
  </r>
  <r>
    <s v="CUST0089"/>
    <x v="124"/>
    <x v="9"/>
    <n v="4397.3900000000003"/>
    <n v="4"/>
    <n v="1"/>
    <n v="3"/>
    <s v="413"/>
    <x v="0"/>
  </r>
  <r>
    <s v="CUST0180"/>
    <x v="2"/>
    <x v="9"/>
    <n v="1608.14"/>
    <n v="1"/>
    <n v="1"/>
    <n v="2"/>
    <s v="112"/>
    <x v="2"/>
  </r>
  <r>
    <s v="CUST0042"/>
    <x v="125"/>
    <x v="7"/>
    <n v="8604.42"/>
    <n v="4"/>
    <n v="2"/>
    <n v="4"/>
    <s v="424"/>
    <x v="0"/>
  </r>
  <r>
    <n v="0"/>
    <x v="126"/>
    <x v="10"/>
    <n v="0"/>
    <n v="4"/>
    <n v="1"/>
    <n v="1"/>
    <s v="411"/>
    <x v="0"/>
  </r>
  <r>
    <m/>
    <x v="127"/>
    <x v="11"/>
    <m/>
    <m/>
    <m/>
    <m/>
    <m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4E3117-DE79-494B-9D4E-6FE2F4DD4929}" name="PivotTable4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B40:C47" firstHeaderRow="1" firstDataRow="1" firstDataCol="1"/>
  <pivotFields count="9"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8">
        <item x="2"/>
        <item x="4"/>
        <item x="3"/>
        <item x="1"/>
        <item x="5"/>
        <item x="0"/>
        <item h="1" x="6"/>
        <item t="default"/>
      </items>
    </pivotField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monetory" fld="3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98B2DE-0F9B-4EE6-ADE0-688642A41306}" name="PivotTable3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B22:C29" firstHeaderRow="1" firstDataRow="1" firstDataCol="1"/>
  <pivotFields count="9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2"/>
        <item x="4"/>
        <item x="3"/>
        <item x="1"/>
        <item x="5"/>
        <item x="0"/>
        <item h="1" x="6"/>
        <item t="default"/>
      </items>
    </pivotField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customerid" fld="0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1"/>
  <sheetViews>
    <sheetView workbookViewId="0">
      <selection activeCell="G4" sqref="G4:I9"/>
    </sheetView>
  </sheetViews>
  <sheetFormatPr defaultRowHeight="14.5" x14ac:dyDescent="0.35"/>
  <cols>
    <col min="1" max="1" width="10.81640625" bestFit="1" customWidth="1"/>
    <col min="2" max="2" width="14.7265625" bestFit="1" customWidth="1"/>
    <col min="3" max="3" width="17.6328125" bestFit="1" customWidth="1"/>
    <col min="4" max="4" width="15" bestFit="1" customWidth="1"/>
    <col min="5" max="5" width="8.1796875" bestFit="1" customWidth="1"/>
    <col min="6" max="6" width="10" bestFit="1" customWidth="1"/>
    <col min="7" max="7" width="7.6328125" bestFit="1" customWidth="1"/>
    <col min="8" max="8" width="9.1796875" bestFit="1" customWidth="1"/>
    <col min="9" max="9" width="7" bestFit="1" customWidth="1"/>
    <col min="10" max="10" width="10.36328125" bestFit="1" customWidth="1"/>
    <col min="11" max="11" width="13.08984375" bestFit="1" customWidth="1"/>
  </cols>
  <sheetData>
    <row r="1" spans="1:15" s="2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5" x14ac:dyDescent="0.35">
      <c r="A2" t="s">
        <v>148</v>
      </c>
      <c r="B2" t="s">
        <v>342</v>
      </c>
      <c r="C2">
        <v>1800.33</v>
      </c>
      <c r="D2" t="s">
        <v>395</v>
      </c>
      <c r="E2">
        <v>1</v>
      </c>
      <c r="F2" t="s">
        <v>397</v>
      </c>
      <c r="G2" t="s">
        <v>402</v>
      </c>
      <c r="H2" t="s">
        <v>407</v>
      </c>
      <c r="I2" t="s">
        <v>410</v>
      </c>
      <c r="J2" t="s">
        <v>384</v>
      </c>
      <c r="K2" t="s">
        <v>583</v>
      </c>
    </row>
    <row r="3" spans="1:15" x14ac:dyDescent="0.35">
      <c r="A3" t="s">
        <v>113</v>
      </c>
      <c r="B3" t="s">
        <v>220</v>
      </c>
      <c r="C3">
        <v>1463.72</v>
      </c>
      <c r="D3" t="s">
        <v>391</v>
      </c>
      <c r="E3">
        <v>5</v>
      </c>
      <c r="F3" t="s">
        <v>401</v>
      </c>
      <c r="G3" t="s">
        <v>402</v>
      </c>
      <c r="H3" t="s">
        <v>408</v>
      </c>
      <c r="I3" t="s">
        <v>410</v>
      </c>
      <c r="J3" t="s">
        <v>256</v>
      </c>
      <c r="K3" t="s">
        <v>583</v>
      </c>
      <c r="N3" t="s">
        <v>616</v>
      </c>
      <c r="O3">
        <f>(2025-1-1)-(2025-1-31)</f>
        <v>30</v>
      </c>
    </row>
    <row r="4" spans="1:15" x14ac:dyDescent="0.35">
      <c r="A4" t="s">
        <v>18</v>
      </c>
      <c r="B4" t="s">
        <v>342</v>
      </c>
      <c r="C4">
        <v>3805.18</v>
      </c>
      <c r="D4" t="s">
        <v>393</v>
      </c>
      <c r="E4">
        <v>1</v>
      </c>
      <c r="F4" t="s">
        <v>401</v>
      </c>
      <c r="G4" t="s">
        <v>402</v>
      </c>
      <c r="H4" t="s">
        <v>404</v>
      </c>
      <c r="I4" t="s">
        <v>410</v>
      </c>
      <c r="J4" t="s">
        <v>256</v>
      </c>
      <c r="K4" t="s">
        <v>582</v>
      </c>
    </row>
    <row r="5" spans="1:15" x14ac:dyDescent="0.35">
      <c r="A5" t="s">
        <v>147</v>
      </c>
      <c r="B5" t="s">
        <v>279</v>
      </c>
      <c r="C5">
        <v>2925.68</v>
      </c>
      <c r="D5" t="s">
        <v>391</v>
      </c>
      <c r="E5">
        <v>2</v>
      </c>
      <c r="F5" t="s">
        <v>398</v>
      </c>
      <c r="G5" t="s">
        <v>402</v>
      </c>
      <c r="H5" t="s">
        <v>408</v>
      </c>
      <c r="I5" t="s">
        <v>409</v>
      </c>
      <c r="J5" t="s">
        <v>238</v>
      </c>
      <c r="K5" t="s">
        <v>582</v>
      </c>
    </row>
    <row r="6" spans="1:15" x14ac:dyDescent="0.35">
      <c r="A6" t="s">
        <v>205</v>
      </c>
      <c r="B6" t="s">
        <v>385</v>
      </c>
      <c r="C6">
        <v>191.06</v>
      </c>
      <c r="D6" t="s">
        <v>391</v>
      </c>
      <c r="E6">
        <v>3</v>
      </c>
      <c r="F6" t="s">
        <v>397</v>
      </c>
      <c r="G6" t="s">
        <v>403</v>
      </c>
      <c r="H6" t="s">
        <v>404</v>
      </c>
      <c r="I6" t="s">
        <v>410</v>
      </c>
      <c r="J6" t="s">
        <v>260</v>
      </c>
      <c r="K6" t="s">
        <v>583</v>
      </c>
    </row>
    <row r="7" spans="1:15" x14ac:dyDescent="0.35">
      <c r="A7" t="s">
        <v>149</v>
      </c>
      <c r="B7" t="s">
        <v>249</v>
      </c>
      <c r="C7">
        <v>1731.43</v>
      </c>
      <c r="D7" t="s">
        <v>392</v>
      </c>
      <c r="E7">
        <v>1</v>
      </c>
      <c r="F7" t="s">
        <v>399</v>
      </c>
      <c r="G7" t="s">
        <v>402</v>
      </c>
      <c r="H7" t="s">
        <v>408</v>
      </c>
      <c r="I7" t="s">
        <v>409</v>
      </c>
      <c r="J7" t="s">
        <v>216</v>
      </c>
      <c r="K7" t="s">
        <v>582</v>
      </c>
    </row>
    <row r="8" spans="1:15" x14ac:dyDescent="0.35">
      <c r="A8" t="s">
        <v>121</v>
      </c>
      <c r="B8" t="s">
        <v>279</v>
      </c>
      <c r="C8">
        <v>3613.43</v>
      </c>
      <c r="D8" t="s">
        <v>392</v>
      </c>
      <c r="E8">
        <v>3</v>
      </c>
      <c r="F8" t="s">
        <v>399</v>
      </c>
      <c r="G8" t="s">
        <v>403</v>
      </c>
      <c r="H8" t="s">
        <v>405</v>
      </c>
      <c r="I8" t="s">
        <v>410</v>
      </c>
      <c r="J8" t="s">
        <v>242</v>
      </c>
      <c r="K8" t="s">
        <v>583</v>
      </c>
    </row>
    <row r="9" spans="1:15" x14ac:dyDescent="0.35">
      <c r="A9" t="s">
        <v>22</v>
      </c>
      <c r="B9" t="s">
        <v>220</v>
      </c>
      <c r="C9">
        <v>3871.2</v>
      </c>
      <c r="D9" t="s">
        <v>394</v>
      </c>
      <c r="E9">
        <v>4</v>
      </c>
      <c r="F9" t="s">
        <v>400</v>
      </c>
      <c r="G9" t="s">
        <v>402</v>
      </c>
      <c r="H9" t="s">
        <v>407</v>
      </c>
      <c r="I9" t="s">
        <v>410</v>
      </c>
      <c r="J9" t="s">
        <v>248</v>
      </c>
      <c r="K9" t="s">
        <v>583</v>
      </c>
    </row>
    <row r="10" spans="1:15" x14ac:dyDescent="0.35">
      <c r="A10" t="s">
        <v>156</v>
      </c>
      <c r="B10" t="s">
        <v>337</v>
      </c>
      <c r="C10">
        <v>2876.7</v>
      </c>
      <c r="D10" t="s">
        <v>395</v>
      </c>
      <c r="E10">
        <v>2</v>
      </c>
      <c r="F10" t="s">
        <v>400</v>
      </c>
      <c r="G10" t="s">
        <v>403</v>
      </c>
      <c r="H10" t="s">
        <v>407</v>
      </c>
      <c r="I10" t="s">
        <v>410</v>
      </c>
      <c r="J10" t="s">
        <v>248</v>
      </c>
      <c r="K10" t="s">
        <v>582</v>
      </c>
    </row>
    <row r="11" spans="1:15" x14ac:dyDescent="0.35">
      <c r="A11" t="s">
        <v>163</v>
      </c>
      <c r="B11" t="s">
        <v>219</v>
      </c>
      <c r="C11">
        <v>2310.41</v>
      </c>
      <c r="D11" t="s">
        <v>396</v>
      </c>
      <c r="E11">
        <v>5</v>
      </c>
      <c r="F11" t="s">
        <v>400</v>
      </c>
      <c r="G11" t="s">
        <v>402</v>
      </c>
      <c r="H11" t="s">
        <v>407</v>
      </c>
      <c r="I11" t="s">
        <v>410</v>
      </c>
      <c r="J11" t="s">
        <v>302</v>
      </c>
      <c r="K11" t="s">
        <v>583</v>
      </c>
    </row>
    <row r="12" spans="1:15" x14ac:dyDescent="0.35">
      <c r="A12" t="s">
        <v>133</v>
      </c>
      <c r="B12" t="s">
        <v>350</v>
      </c>
      <c r="C12">
        <v>4802.8599999999997</v>
      </c>
      <c r="D12" t="s">
        <v>393</v>
      </c>
      <c r="E12">
        <v>2</v>
      </c>
      <c r="F12" t="s">
        <v>400</v>
      </c>
      <c r="G12" t="s">
        <v>402</v>
      </c>
      <c r="H12" t="s">
        <v>405</v>
      </c>
      <c r="I12" t="s">
        <v>410</v>
      </c>
      <c r="J12" t="s">
        <v>276</v>
      </c>
      <c r="K12" t="s">
        <v>582</v>
      </c>
    </row>
    <row r="13" spans="1:15" x14ac:dyDescent="0.35">
      <c r="A13" t="s">
        <v>88</v>
      </c>
      <c r="B13" t="s">
        <v>244</v>
      </c>
      <c r="C13">
        <v>931.55</v>
      </c>
      <c r="D13" t="s">
        <v>395</v>
      </c>
      <c r="E13">
        <v>1</v>
      </c>
      <c r="F13" t="s">
        <v>399</v>
      </c>
      <c r="G13" t="s">
        <v>402</v>
      </c>
      <c r="H13" t="s">
        <v>407</v>
      </c>
      <c r="I13" t="s">
        <v>410</v>
      </c>
      <c r="J13" t="s">
        <v>276</v>
      </c>
      <c r="K13" t="s">
        <v>583</v>
      </c>
    </row>
    <row r="14" spans="1:15" x14ac:dyDescent="0.35">
      <c r="A14" t="s">
        <v>51</v>
      </c>
      <c r="B14" t="s">
        <v>219</v>
      </c>
      <c r="C14">
        <v>2967.38</v>
      </c>
      <c r="D14" t="s">
        <v>395</v>
      </c>
      <c r="E14">
        <v>3</v>
      </c>
      <c r="F14" t="s">
        <v>401</v>
      </c>
      <c r="G14" t="s">
        <v>403</v>
      </c>
      <c r="H14" t="s">
        <v>407</v>
      </c>
      <c r="I14" t="s">
        <v>409</v>
      </c>
      <c r="J14" t="s">
        <v>369</v>
      </c>
      <c r="K14" t="s">
        <v>583</v>
      </c>
    </row>
    <row r="15" spans="1:15" x14ac:dyDescent="0.35">
      <c r="A15" t="s">
        <v>100</v>
      </c>
      <c r="B15" t="s">
        <v>323</v>
      </c>
      <c r="C15">
        <v>3395.64</v>
      </c>
      <c r="D15" t="s">
        <v>392</v>
      </c>
      <c r="E15">
        <v>2</v>
      </c>
      <c r="F15" t="s">
        <v>400</v>
      </c>
      <c r="G15" t="s">
        <v>403</v>
      </c>
      <c r="H15" t="s">
        <v>405</v>
      </c>
      <c r="I15" t="s">
        <v>410</v>
      </c>
      <c r="J15" t="s">
        <v>369</v>
      </c>
      <c r="K15" t="s">
        <v>583</v>
      </c>
    </row>
    <row r="16" spans="1:15" x14ac:dyDescent="0.35">
      <c r="A16" t="s">
        <v>149</v>
      </c>
      <c r="B16" t="s">
        <v>337</v>
      </c>
      <c r="C16">
        <v>276.58999999999997</v>
      </c>
      <c r="D16" t="s">
        <v>395</v>
      </c>
      <c r="E16">
        <v>4</v>
      </c>
      <c r="F16" t="s">
        <v>399</v>
      </c>
      <c r="G16" t="s">
        <v>402</v>
      </c>
      <c r="H16" t="s">
        <v>407</v>
      </c>
      <c r="I16" t="s">
        <v>409</v>
      </c>
      <c r="J16" t="s">
        <v>335</v>
      </c>
      <c r="K16" t="s">
        <v>582</v>
      </c>
    </row>
    <row r="17" spans="1:11" x14ac:dyDescent="0.35">
      <c r="A17" t="s">
        <v>186</v>
      </c>
      <c r="B17" t="s">
        <v>342</v>
      </c>
      <c r="C17">
        <v>775.33</v>
      </c>
      <c r="D17" t="s">
        <v>393</v>
      </c>
      <c r="E17">
        <v>1</v>
      </c>
      <c r="F17" t="s">
        <v>397</v>
      </c>
      <c r="G17" t="s">
        <v>402</v>
      </c>
      <c r="H17" t="s">
        <v>405</v>
      </c>
      <c r="I17" t="s">
        <v>410</v>
      </c>
      <c r="J17" t="s">
        <v>338</v>
      </c>
      <c r="K17" t="s">
        <v>583</v>
      </c>
    </row>
    <row r="18" spans="1:11" x14ac:dyDescent="0.35">
      <c r="A18" t="s">
        <v>15</v>
      </c>
      <c r="B18" t="s">
        <v>279</v>
      </c>
      <c r="C18">
        <v>1809.09</v>
      </c>
      <c r="D18" t="s">
        <v>392</v>
      </c>
      <c r="E18">
        <v>5</v>
      </c>
      <c r="F18" t="s">
        <v>398</v>
      </c>
      <c r="G18" t="s">
        <v>402</v>
      </c>
      <c r="H18" t="s">
        <v>404</v>
      </c>
      <c r="I18" t="s">
        <v>409</v>
      </c>
      <c r="J18" t="s">
        <v>336</v>
      </c>
      <c r="K18" t="s">
        <v>583</v>
      </c>
    </row>
    <row r="19" spans="1:11" x14ac:dyDescent="0.35">
      <c r="A19" t="s">
        <v>157</v>
      </c>
      <c r="B19" t="s">
        <v>384</v>
      </c>
      <c r="C19">
        <v>1843.95</v>
      </c>
      <c r="D19" t="s">
        <v>393</v>
      </c>
      <c r="E19">
        <v>4</v>
      </c>
      <c r="F19" t="s">
        <v>397</v>
      </c>
      <c r="G19" t="s">
        <v>402</v>
      </c>
      <c r="H19" t="s">
        <v>405</v>
      </c>
      <c r="I19" t="s">
        <v>410</v>
      </c>
      <c r="J19" t="s">
        <v>296</v>
      </c>
      <c r="K19" t="s">
        <v>583</v>
      </c>
    </row>
    <row r="20" spans="1:11" x14ac:dyDescent="0.35">
      <c r="A20" t="s">
        <v>74</v>
      </c>
      <c r="B20" t="s">
        <v>244</v>
      </c>
      <c r="C20">
        <v>820.67</v>
      </c>
      <c r="D20" t="s">
        <v>396</v>
      </c>
      <c r="E20">
        <v>5</v>
      </c>
      <c r="F20" t="s">
        <v>398</v>
      </c>
      <c r="G20" t="s">
        <v>403</v>
      </c>
      <c r="H20" t="s">
        <v>407</v>
      </c>
      <c r="I20" t="s">
        <v>409</v>
      </c>
      <c r="J20" t="s">
        <v>296</v>
      </c>
      <c r="K20" t="s">
        <v>583</v>
      </c>
    </row>
    <row r="21" spans="1:11" x14ac:dyDescent="0.35">
      <c r="A21" t="s">
        <v>80</v>
      </c>
      <c r="B21" t="s">
        <v>238</v>
      </c>
      <c r="C21">
        <v>4589.83</v>
      </c>
      <c r="D21" t="s">
        <v>392</v>
      </c>
      <c r="E21">
        <v>5</v>
      </c>
      <c r="F21" t="s">
        <v>401</v>
      </c>
      <c r="G21" t="s">
        <v>402</v>
      </c>
      <c r="H21" t="s">
        <v>405</v>
      </c>
      <c r="I21" t="s">
        <v>409</v>
      </c>
      <c r="J21" t="s">
        <v>304</v>
      </c>
      <c r="K21" t="s">
        <v>582</v>
      </c>
    </row>
    <row r="22" spans="1:11" x14ac:dyDescent="0.35">
      <c r="A22" t="s">
        <v>21</v>
      </c>
      <c r="B22" t="s">
        <v>219</v>
      </c>
      <c r="C22">
        <v>1328.67</v>
      </c>
      <c r="D22" t="s">
        <v>395</v>
      </c>
      <c r="E22">
        <v>3</v>
      </c>
      <c r="F22" t="s">
        <v>399</v>
      </c>
      <c r="G22" t="s">
        <v>402</v>
      </c>
      <c r="H22" t="s">
        <v>406</v>
      </c>
      <c r="I22" t="s">
        <v>409</v>
      </c>
      <c r="J22" t="s">
        <v>234</v>
      </c>
      <c r="K22" t="s">
        <v>582</v>
      </c>
    </row>
    <row r="23" spans="1:11" x14ac:dyDescent="0.35">
      <c r="A23" t="s">
        <v>138</v>
      </c>
      <c r="B23" t="s">
        <v>350</v>
      </c>
      <c r="C23">
        <v>302.57</v>
      </c>
      <c r="D23" t="s">
        <v>395</v>
      </c>
      <c r="E23">
        <v>2</v>
      </c>
      <c r="F23" t="s">
        <v>401</v>
      </c>
      <c r="G23" t="s">
        <v>402</v>
      </c>
      <c r="H23" t="s">
        <v>404</v>
      </c>
      <c r="I23" t="s">
        <v>409</v>
      </c>
      <c r="J23" t="s">
        <v>334</v>
      </c>
      <c r="K23" t="s">
        <v>582</v>
      </c>
    </row>
    <row r="24" spans="1:11" x14ac:dyDescent="0.35">
      <c r="A24" t="s">
        <v>52</v>
      </c>
      <c r="B24" t="s">
        <v>374</v>
      </c>
      <c r="C24">
        <v>2514.08</v>
      </c>
      <c r="D24" t="s">
        <v>391</v>
      </c>
      <c r="E24">
        <v>2</v>
      </c>
      <c r="F24" t="s">
        <v>401</v>
      </c>
      <c r="G24" t="s">
        <v>402</v>
      </c>
      <c r="H24" t="s">
        <v>404</v>
      </c>
      <c r="I24" t="s">
        <v>410</v>
      </c>
      <c r="J24" t="s">
        <v>389</v>
      </c>
      <c r="K24" t="s">
        <v>583</v>
      </c>
    </row>
    <row r="25" spans="1:11" x14ac:dyDescent="0.35">
      <c r="A25" t="s">
        <v>27</v>
      </c>
      <c r="B25" t="s">
        <v>321</v>
      </c>
      <c r="C25">
        <v>2087</v>
      </c>
      <c r="D25" t="s">
        <v>392</v>
      </c>
      <c r="E25">
        <v>1</v>
      </c>
      <c r="F25" t="s">
        <v>401</v>
      </c>
      <c r="G25" t="s">
        <v>403</v>
      </c>
      <c r="H25" t="s">
        <v>408</v>
      </c>
      <c r="I25" t="s">
        <v>410</v>
      </c>
      <c r="J25" t="s">
        <v>223</v>
      </c>
      <c r="K25" t="s">
        <v>582</v>
      </c>
    </row>
    <row r="26" spans="1:11" x14ac:dyDescent="0.35">
      <c r="A26" t="s">
        <v>184</v>
      </c>
      <c r="B26" t="s">
        <v>324</v>
      </c>
      <c r="C26">
        <v>3568.15</v>
      </c>
      <c r="D26" t="s">
        <v>391</v>
      </c>
      <c r="E26">
        <v>4</v>
      </c>
      <c r="F26" t="s">
        <v>397</v>
      </c>
      <c r="G26" t="s">
        <v>402</v>
      </c>
      <c r="H26" t="s">
        <v>406</v>
      </c>
      <c r="I26" t="s">
        <v>410</v>
      </c>
      <c r="J26" t="s">
        <v>251</v>
      </c>
      <c r="K26" t="s">
        <v>582</v>
      </c>
    </row>
    <row r="27" spans="1:11" x14ac:dyDescent="0.35">
      <c r="A27" t="s">
        <v>186</v>
      </c>
      <c r="B27" t="s">
        <v>369</v>
      </c>
      <c r="C27">
        <v>3652.8</v>
      </c>
      <c r="D27" t="s">
        <v>392</v>
      </c>
      <c r="E27">
        <v>5</v>
      </c>
      <c r="F27" t="s">
        <v>399</v>
      </c>
      <c r="G27" t="s">
        <v>403</v>
      </c>
      <c r="H27" t="s">
        <v>406</v>
      </c>
      <c r="I27" t="s">
        <v>410</v>
      </c>
      <c r="J27" t="s">
        <v>251</v>
      </c>
      <c r="K27" t="s">
        <v>582</v>
      </c>
    </row>
    <row r="28" spans="1:11" x14ac:dyDescent="0.35">
      <c r="A28" t="s">
        <v>102</v>
      </c>
      <c r="B28" t="s">
        <v>308</v>
      </c>
      <c r="C28">
        <v>4947.7299999999996</v>
      </c>
      <c r="D28" t="s">
        <v>396</v>
      </c>
      <c r="E28">
        <v>4</v>
      </c>
      <c r="F28" t="s">
        <v>401</v>
      </c>
      <c r="G28" t="s">
        <v>403</v>
      </c>
      <c r="H28" t="s">
        <v>406</v>
      </c>
      <c r="I28" t="s">
        <v>410</v>
      </c>
      <c r="J28" t="s">
        <v>251</v>
      </c>
      <c r="K28" t="s">
        <v>583</v>
      </c>
    </row>
    <row r="29" spans="1:11" x14ac:dyDescent="0.35">
      <c r="A29" t="s">
        <v>42</v>
      </c>
      <c r="B29" t="s">
        <v>335</v>
      </c>
      <c r="C29">
        <v>3565.22</v>
      </c>
      <c r="D29" t="s">
        <v>391</v>
      </c>
      <c r="E29">
        <v>4</v>
      </c>
      <c r="F29" t="s">
        <v>398</v>
      </c>
      <c r="G29" t="s">
        <v>402</v>
      </c>
      <c r="H29" t="s">
        <v>408</v>
      </c>
      <c r="I29" t="s">
        <v>409</v>
      </c>
      <c r="J29" t="s">
        <v>211</v>
      </c>
      <c r="K29" t="s">
        <v>583</v>
      </c>
    </row>
    <row r="30" spans="1:11" x14ac:dyDescent="0.35">
      <c r="A30" t="s">
        <v>92</v>
      </c>
      <c r="B30" t="s">
        <v>264</v>
      </c>
      <c r="C30">
        <v>4081.61</v>
      </c>
      <c r="D30" t="s">
        <v>392</v>
      </c>
      <c r="E30">
        <v>4</v>
      </c>
      <c r="F30" t="s">
        <v>401</v>
      </c>
      <c r="G30" t="s">
        <v>402</v>
      </c>
      <c r="H30" t="s">
        <v>408</v>
      </c>
      <c r="I30" t="s">
        <v>409</v>
      </c>
      <c r="J30" t="s">
        <v>211</v>
      </c>
      <c r="K30" t="s">
        <v>582</v>
      </c>
    </row>
    <row r="31" spans="1:11" x14ac:dyDescent="0.35">
      <c r="A31" t="s">
        <v>88</v>
      </c>
      <c r="B31" t="s">
        <v>210</v>
      </c>
      <c r="C31">
        <v>1339.97</v>
      </c>
      <c r="D31" t="s">
        <v>395</v>
      </c>
      <c r="E31">
        <v>3</v>
      </c>
      <c r="F31" t="s">
        <v>397</v>
      </c>
      <c r="G31" t="s">
        <v>403</v>
      </c>
      <c r="H31" t="s">
        <v>406</v>
      </c>
      <c r="I31" t="s">
        <v>410</v>
      </c>
      <c r="J31" t="s">
        <v>211</v>
      </c>
      <c r="K31" t="s">
        <v>583</v>
      </c>
    </row>
    <row r="32" spans="1:11" x14ac:dyDescent="0.35">
      <c r="A32" t="s">
        <v>118</v>
      </c>
      <c r="B32" t="s">
        <v>276</v>
      </c>
      <c r="C32">
        <v>3856.73</v>
      </c>
      <c r="D32" t="s">
        <v>395</v>
      </c>
      <c r="E32">
        <v>4</v>
      </c>
      <c r="F32" t="s">
        <v>399</v>
      </c>
      <c r="G32" t="s">
        <v>402</v>
      </c>
      <c r="H32" t="s">
        <v>408</v>
      </c>
      <c r="I32" t="s">
        <v>410</v>
      </c>
      <c r="J32" t="s">
        <v>211</v>
      </c>
      <c r="K32" t="s">
        <v>582</v>
      </c>
    </row>
    <row r="33" spans="1:11" x14ac:dyDescent="0.35">
      <c r="A33" t="s">
        <v>204</v>
      </c>
      <c r="B33" t="s">
        <v>256</v>
      </c>
      <c r="C33">
        <v>2590.65</v>
      </c>
      <c r="D33" t="s">
        <v>391</v>
      </c>
      <c r="E33">
        <v>2</v>
      </c>
      <c r="F33" t="s">
        <v>401</v>
      </c>
      <c r="G33" t="s">
        <v>403</v>
      </c>
      <c r="H33" t="s">
        <v>405</v>
      </c>
      <c r="I33" t="s">
        <v>409</v>
      </c>
      <c r="J33" t="s">
        <v>288</v>
      </c>
      <c r="K33" t="s">
        <v>583</v>
      </c>
    </row>
    <row r="34" spans="1:11" x14ac:dyDescent="0.35">
      <c r="A34" t="s">
        <v>150</v>
      </c>
      <c r="B34" t="s">
        <v>256</v>
      </c>
      <c r="C34">
        <v>2475.91</v>
      </c>
      <c r="D34" t="s">
        <v>391</v>
      </c>
      <c r="E34">
        <v>4</v>
      </c>
      <c r="F34" t="s">
        <v>398</v>
      </c>
      <c r="G34" t="s">
        <v>403</v>
      </c>
      <c r="H34" t="s">
        <v>408</v>
      </c>
      <c r="I34" t="s">
        <v>410</v>
      </c>
      <c r="J34" t="s">
        <v>218</v>
      </c>
      <c r="K34" t="s">
        <v>582</v>
      </c>
    </row>
    <row r="35" spans="1:11" x14ac:dyDescent="0.35">
      <c r="A35" t="s">
        <v>158</v>
      </c>
      <c r="B35" t="s">
        <v>324</v>
      </c>
      <c r="C35">
        <v>4516.91</v>
      </c>
      <c r="D35" t="s">
        <v>391</v>
      </c>
      <c r="E35">
        <v>5</v>
      </c>
      <c r="F35" t="s">
        <v>401</v>
      </c>
      <c r="G35" t="s">
        <v>402</v>
      </c>
      <c r="H35" t="s">
        <v>407</v>
      </c>
      <c r="I35" t="s">
        <v>410</v>
      </c>
      <c r="J35" t="s">
        <v>258</v>
      </c>
      <c r="K35" t="s">
        <v>583</v>
      </c>
    </row>
    <row r="36" spans="1:11" x14ac:dyDescent="0.35">
      <c r="A36" t="s">
        <v>101</v>
      </c>
      <c r="B36" t="s">
        <v>296</v>
      </c>
      <c r="C36">
        <v>1127.9000000000001</v>
      </c>
      <c r="D36" t="s">
        <v>396</v>
      </c>
      <c r="E36">
        <v>2</v>
      </c>
      <c r="F36" t="s">
        <v>397</v>
      </c>
      <c r="G36" t="s">
        <v>403</v>
      </c>
      <c r="H36" t="s">
        <v>408</v>
      </c>
      <c r="I36" t="s">
        <v>409</v>
      </c>
      <c r="J36" t="s">
        <v>346</v>
      </c>
      <c r="K36" t="s">
        <v>583</v>
      </c>
    </row>
    <row r="37" spans="1:11" x14ac:dyDescent="0.35">
      <c r="A37" t="s">
        <v>107</v>
      </c>
      <c r="B37" t="s">
        <v>279</v>
      </c>
      <c r="C37">
        <v>4187.62</v>
      </c>
      <c r="D37" t="s">
        <v>393</v>
      </c>
      <c r="E37">
        <v>1</v>
      </c>
      <c r="F37" t="s">
        <v>399</v>
      </c>
      <c r="G37" t="s">
        <v>403</v>
      </c>
      <c r="H37" t="s">
        <v>404</v>
      </c>
      <c r="I37" t="s">
        <v>409</v>
      </c>
      <c r="J37" t="s">
        <v>346</v>
      </c>
      <c r="K37" t="s">
        <v>583</v>
      </c>
    </row>
    <row r="38" spans="1:11" x14ac:dyDescent="0.35">
      <c r="A38" t="s">
        <v>68</v>
      </c>
      <c r="B38" t="s">
        <v>369</v>
      </c>
      <c r="C38">
        <v>1013.12</v>
      </c>
      <c r="D38" t="s">
        <v>392</v>
      </c>
      <c r="E38">
        <v>2</v>
      </c>
      <c r="F38" t="s">
        <v>401</v>
      </c>
      <c r="G38" t="s">
        <v>402</v>
      </c>
      <c r="H38" t="s">
        <v>408</v>
      </c>
      <c r="I38" t="s">
        <v>410</v>
      </c>
      <c r="J38" t="s">
        <v>346</v>
      </c>
      <c r="K38" t="s">
        <v>583</v>
      </c>
    </row>
    <row r="39" spans="1:11" x14ac:dyDescent="0.35">
      <c r="A39" t="s">
        <v>58</v>
      </c>
      <c r="B39" t="s">
        <v>340</v>
      </c>
      <c r="C39">
        <v>3978.28</v>
      </c>
      <c r="D39" t="s">
        <v>393</v>
      </c>
      <c r="E39">
        <v>5</v>
      </c>
      <c r="F39" t="s">
        <v>400</v>
      </c>
      <c r="G39" t="s">
        <v>403</v>
      </c>
      <c r="H39" t="s">
        <v>406</v>
      </c>
      <c r="I39" t="s">
        <v>410</v>
      </c>
      <c r="J39" t="s">
        <v>387</v>
      </c>
      <c r="K39" t="s">
        <v>583</v>
      </c>
    </row>
    <row r="40" spans="1:11" x14ac:dyDescent="0.35">
      <c r="A40" t="s">
        <v>72</v>
      </c>
      <c r="B40" t="s">
        <v>351</v>
      </c>
      <c r="C40">
        <v>2407.38</v>
      </c>
      <c r="D40" t="s">
        <v>395</v>
      </c>
      <c r="E40">
        <v>5</v>
      </c>
      <c r="F40" t="s">
        <v>401</v>
      </c>
      <c r="G40" t="s">
        <v>403</v>
      </c>
      <c r="H40" t="s">
        <v>406</v>
      </c>
      <c r="I40" t="s">
        <v>409</v>
      </c>
      <c r="J40" t="s">
        <v>387</v>
      </c>
      <c r="K40" t="s">
        <v>582</v>
      </c>
    </row>
    <row r="41" spans="1:11" x14ac:dyDescent="0.35">
      <c r="A41" t="s">
        <v>123</v>
      </c>
      <c r="B41" t="s">
        <v>313</v>
      </c>
      <c r="C41">
        <v>1705.98</v>
      </c>
      <c r="D41" t="s">
        <v>391</v>
      </c>
      <c r="E41">
        <v>4</v>
      </c>
      <c r="F41" t="s">
        <v>399</v>
      </c>
      <c r="G41" t="s">
        <v>403</v>
      </c>
      <c r="H41" t="s">
        <v>408</v>
      </c>
      <c r="I41" t="s">
        <v>410</v>
      </c>
      <c r="J41" t="s">
        <v>359</v>
      </c>
      <c r="K41" t="s">
        <v>583</v>
      </c>
    </row>
    <row r="42" spans="1:11" x14ac:dyDescent="0.35">
      <c r="A42" t="s">
        <v>20</v>
      </c>
      <c r="B42" t="s">
        <v>308</v>
      </c>
      <c r="C42">
        <v>3319.31</v>
      </c>
      <c r="D42" t="s">
        <v>393</v>
      </c>
      <c r="E42">
        <v>4</v>
      </c>
      <c r="F42" t="s">
        <v>398</v>
      </c>
      <c r="G42" t="s">
        <v>402</v>
      </c>
      <c r="H42" t="s">
        <v>408</v>
      </c>
      <c r="I42" t="s">
        <v>409</v>
      </c>
      <c r="J42" t="s">
        <v>359</v>
      </c>
      <c r="K42" t="s">
        <v>583</v>
      </c>
    </row>
    <row r="43" spans="1:11" x14ac:dyDescent="0.35">
      <c r="A43" t="s">
        <v>167</v>
      </c>
      <c r="B43" t="s">
        <v>210</v>
      </c>
      <c r="C43">
        <v>3460.46</v>
      </c>
      <c r="D43" t="s">
        <v>396</v>
      </c>
      <c r="E43">
        <v>4</v>
      </c>
      <c r="F43" t="s">
        <v>398</v>
      </c>
      <c r="G43" t="s">
        <v>403</v>
      </c>
      <c r="H43" t="s">
        <v>405</v>
      </c>
      <c r="I43" t="s">
        <v>409</v>
      </c>
      <c r="J43" t="s">
        <v>267</v>
      </c>
      <c r="K43" t="s">
        <v>583</v>
      </c>
    </row>
    <row r="44" spans="1:11" x14ac:dyDescent="0.35">
      <c r="A44" t="s">
        <v>75</v>
      </c>
      <c r="B44" t="s">
        <v>369</v>
      </c>
      <c r="C44">
        <v>737.25</v>
      </c>
      <c r="D44" t="s">
        <v>392</v>
      </c>
      <c r="E44">
        <v>3</v>
      </c>
      <c r="F44" t="s">
        <v>400</v>
      </c>
      <c r="G44" t="s">
        <v>402</v>
      </c>
      <c r="H44" t="s">
        <v>408</v>
      </c>
      <c r="I44" t="s">
        <v>410</v>
      </c>
      <c r="J44" t="s">
        <v>267</v>
      </c>
      <c r="K44" t="s">
        <v>583</v>
      </c>
    </row>
    <row r="45" spans="1:11" x14ac:dyDescent="0.35">
      <c r="A45" t="s">
        <v>46</v>
      </c>
      <c r="B45" t="s">
        <v>242</v>
      </c>
      <c r="C45">
        <v>596.64</v>
      </c>
      <c r="D45" t="s">
        <v>391</v>
      </c>
      <c r="E45">
        <v>2</v>
      </c>
      <c r="F45" t="s">
        <v>400</v>
      </c>
      <c r="G45" t="s">
        <v>402</v>
      </c>
      <c r="H45" t="s">
        <v>407</v>
      </c>
      <c r="I45" t="s">
        <v>409</v>
      </c>
      <c r="J45" t="s">
        <v>298</v>
      </c>
      <c r="K45" t="s">
        <v>582</v>
      </c>
    </row>
    <row r="46" spans="1:11" x14ac:dyDescent="0.35">
      <c r="A46" t="s">
        <v>74</v>
      </c>
      <c r="B46" t="s">
        <v>304</v>
      </c>
      <c r="C46">
        <v>4514.08</v>
      </c>
      <c r="D46" t="s">
        <v>393</v>
      </c>
      <c r="E46">
        <v>5</v>
      </c>
      <c r="F46" t="s">
        <v>398</v>
      </c>
      <c r="G46" t="s">
        <v>402</v>
      </c>
      <c r="H46" t="s">
        <v>408</v>
      </c>
      <c r="I46" t="s">
        <v>409</v>
      </c>
      <c r="J46" t="s">
        <v>298</v>
      </c>
      <c r="K46" t="s">
        <v>582</v>
      </c>
    </row>
    <row r="47" spans="1:11" x14ac:dyDescent="0.35">
      <c r="A47" t="s">
        <v>38</v>
      </c>
      <c r="B47" t="s">
        <v>323</v>
      </c>
      <c r="C47">
        <v>2871.63</v>
      </c>
      <c r="D47" t="s">
        <v>394</v>
      </c>
      <c r="E47">
        <v>1</v>
      </c>
      <c r="F47" t="s">
        <v>399</v>
      </c>
      <c r="G47" t="s">
        <v>402</v>
      </c>
      <c r="H47" t="s">
        <v>404</v>
      </c>
      <c r="I47" t="s">
        <v>410</v>
      </c>
      <c r="J47" t="s">
        <v>298</v>
      </c>
      <c r="K47" t="s">
        <v>583</v>
      </c>
    </row>
    <row r="48" spans="1:11" x14ac:dyDescent="0.35">
      <c r="A48" t="s">
        <v>136</v>
      </c>
      <c r="B48" t="s">
        <v>374</v>
      </c>
      <c r="C48">
        <v>1163.83</v>
      </c>
      <c r="D48" t="s">
        <v>392</v>
      </c>
      <c r="E48">
        <v>1</v>
      </c>
      <c r="F48" t="s">
        <v>400</v>
      </c>
      <c r="G48" t="s">
        <v>402</v>
      </c>
      <c r="H48" t="s">
        <v>406</v>
      </c>
      <c r="I48" t="s">
        <v>410</v>
      </c>
      <c r="J48" t="s">
        <v>298</v>
      </c>
      <c r="K48" t="s">
        <v>583</v>
      </c>
    </row>
    <row r="49" spans="1:11" x14ac:dyDescent="0.35">
      <c r="A49" t="s">
        <v>128</v>
      </c>
      <c r="B49" t="s">
        <v>288</v>
      </c>
      <c r="C49">
        <v>3909.85</v>
      </c>
      <c r="D49" t="s">
        <v>394</v>
      </c>
      <c r="E49">
        <v>1</v>
      </c>
      <c r="F49" t="s">
        <v>398</v>
      </c>
      <c r="G49" t="s">
        <v>403</v>
      </c>
      <c r="H49" t="s">
        <v>405</v>
      </c>
      <c r="I49" t="s">
        <v>409</v>
      </c>
      <c r="J49" t="s">
        <v>295</v>
      </c>
      <c r="K49" t="s">
        <v>582</v>
      </c>
    </row>
    <row r="50" spans="1:11" x14ac:dyDescent="0.35">
      <c r="A50" t="s">
        <v>108</v>
      </c>
      <c r="B50" t="s">
        <v>348</v>
      </c>
      <c r="C50">
        <v>528.9</v>
      </c>
      <c r="D50" t="s">
        <v>392</v>
      </c>
      <c r="E50">
        <v>3</v>
      </c>
      <c r="F50" t="s">
        <v>397</v>
      </c>
      <c r="G50" t="s">
        <v>403</v>
      </c>
      <c r="H50" t="s">
        <v>406</v>
      </c>
      <c r="I50" t="s">
        <v>409</v>
      </c>
      <c r="J50" t="s">
        <v>295</v>
      </c>
      <c r="K50" t="s">
        <v>583</v>
      </c>
    </row>
    <row r="51" spans="1:11" x14ac:dyDescent="0.35">
      <c r="A51" t="s">
        <v>41</v>
      </c>
      <c r="B51" t="s">
        <v>220</v>
      </c>
      <c r="C51">
        <v>1503.01</v>
      </c>
      <c r="D51" t="s">
        <v>392</v>
      </c>
      <c r="E51">
        <v>2</v>
      </c>
      <c r="F51" t="s">
        <v>399</v>
      </c>
      <c r="G51" t="s">
        <v>403</v>
      </c>
      <c r="H51" t="s">
        <v>407</v>
      </c>
      <c r="I51" t="s">
        <v>410</v>
      </c>
      <c r="J51" t="s">
        <v>221</v>
      </c>
      <c r="K51" t="s">
        <v>582</v>
      </c>
    </row>
    <row r="52" spans="1:11" x14ac:dyDescent="0.35">
      <c r="A52" t="s">
        <v>131</v>
      </c>
      <c r="B52" t="s">
        <v>281</v>
      </c>
      <c r="C52">
        <v>1233.8900000000001</v>
      </c>
      <c r="D52" t="s">
        <v>393</v>
      </c>
      <c r="E52">
        <v>3</v>
      </c>
      <c r="F52" t="s">
        <v>401</v>
      </c>
      <c r="G52" t="s">
        <v>403</v>
      </c>
      <c r="H52" t="s">
        <v>408</v>
      </c>
      <c r="I52" t="s">
        <v>409</v>
      </c>
      <c r="J52" t="s">
        <v>299</v>
      </c>
      <c r="K52" t="s">
        <v>582</v>
      </c>
    </row>
    <row r="53" spans="1:11" x14ac:dyDescent="0.35">
      <c r="A53" t="s">
        <v>121</v>
      </c>
      <c r="B53" t="s">
        <v>236</v>
      </c>
      <c r="C53">
        <v>2871.6</v>
      </c>
      <c r="D53" t="s">
        <v>393</v>
      </c>
      <c r="E53">
        <v>5</v>
      </c>
      <c r="F53" t="s">
        <v>401</v>
      </c>
      <c r="G53" t="s">
        <v>403</v>
      </c>
      <c r="H53" t="s">
        <v>407</v>
      </c>
      <c r="I53" t="s">
        <v>409</v>
      </c>
      <c r="J53" t="s">
        <v>299</v>
      </c>
      <c r="K53" t="s">
        <v>583</v>
      </c>
    </row>
    <row r="54" spans="1:11" x14ac:dyDescent="0.35">
      <c r="A54" t="s">
        <v>102</v>
      </c>
      <c r="B54" t="s">
        <v>321</v>
      </c>
      <c r="C54">
        <v>4050.11</v>
      </c>
      <c r="D54" t="s">
        <v>393</v>
      </c>
      <c r="E54">
        <v>1</v>
      </c>
      <c r="F54" t="s">
        <v>398</v>
      </c>
      <c r="G54" t="s">
        <v>402</v>
      </c>
      <c r="H54" t="s">
        <v>408</v>
      </c>
      <c r="I54" t="s">
        <v>410</v>
      </c>
      <c r="J54" t="s">
        <v>299</v>
      </c>
      <c r="K54" t="s">
        <v>583</v>
      </c>
    </row>
    <row r="55" spans="1:11" x14ac:dyDescent="0.35">
      <c r="A55" t="s">
        <v>91</v>
      </c>
      <c r="B55" t="s">
        <v>236</v>
      </c>
      <c r="C55">
        <v>4990.03</v>
      </c>
      <c r="D55" t="s">
        <v>393</v>
      </c>
      <c r="E55">
        <v>3</v>
      </c>
      <c r="F55" t="s">
        <v>397</v>
      </c>
      <c r="G55" t="s">
        <v>403</v>
      </c>
      <c r="H55" t="s">
        <v>406</v>
      </c>
      <c r="I55" t="s">
        <v>410</v>
      </c>
      <c r="J55" t="s">
        <v>240</v>
      </c>
      <c r="K55" t="s">
        <v>583</v>
      </c>
    </row>
    <row r="56" spans="1:11" x14ac:dyDescent="0.35">
      <c r="A56" t="s">
        <v>38</v>
      </c>
      <c r="B56" t="s">
        <v>216</v>
      </c>
      <c r="C56">
        <v>4756.12</v>
      </c>
      <c r="D56" t="s">
        <v>392</v>
      </c>
      <c r="E56">
        <v>2</v>
      </c>
      <c r="F56" t="s">
        <v>400</v>
      </c>
      <c r="G56" t="s">
        <v>402</v>
      </c>
      <c r="H56" t="s">
        <v>404</v>
      </c>
      <c r="I56" t="s">
        <v>410</v>
      </c>
      <c r="J56" t="s">
        <v>240</v>
      </c>
      <c r="K56" t="s">
        <v>582</v>
      </c>
    </row>
    <row r="57" spans="1:11" x14ac:dyDescent="0.35">
      <c r="A57" t="s">
        <v>95</v>
      </c>
      <c r="B57" t="s">
        <v>373</v>
      </c>
      <c r="C57">
        <v>859.35</v>
      </c>
      <c r="D57" t="s">
        <v>396</v>
      </c>
      <c r="E57">
        <v>1</v>
      </c>
      <c r="F57" t="s">
        <v>398</v>
      </c>
      <c r="G57" t="s">
        <v>402</v>
      </c>
      <c r="H57" t="s">
        <v>406</v>
      </c>
      <c r="I57" t="s">
        <v>410</v>
      </c>
      <c r="J57" t="s">
        <v>240</v>
      </c>
      <c r="K57" t="s">
        <v>583</v>
      </c>
    </row>
    <row r="58" spans="1:11" x14ac:dyDescent="0.35">
      <c r="A58" t="s">
        <v>29</v>
      </c>
      <c r="B58" t="s">
        <v>351</v>
      </c>
      <c r="C58">
        <v>590.5</v>
      </c>
      <c r="D58" t="s">
        <v>394</v>
      </c>
      <c r="E58">
        <v>2</v>
      </c>
      <c r="F58" t="s">
        <v>397</v>
      </c>
      <c r="G58" t="s">
        <v>403</v>
      </c>
      <c r="H58" t="s">
        <v>405</v>
      </c>
      <c r="I58" t="s">
        <v>410</v>
      </c>
      <c r="J58" t="s">
        <v>326</v>
      </c>
      <c r="K58" t="s">
        <v>583</v>
      </c>
    </row>
    <row r="59" spans="1:11" x14ac:dyDescent="0.35">
      <c r="A59" t="s">
        <v>35</v>
      </c>
      <c r="B59" t="s">
        <v>288</v>
      </c>
      <c r="C59">
        <v>4468.2700000000004</v>
      </c>
      <c r="D59" t="s">
        <v>395</v>
      </c>
      <c r="E59">
        <v>5</v>
      </c>
      <c r="F59" t="s">
        <v>400</v>
      </c>
      <c r="G59" t="s">
        <v>402</v>
      </c>
      <c r="H59" t="s">
        <v>408</v>
      </c>
      <c r="I59" t="s">
        <v>409</v>
      </c>
      <c r="J59" t="s">
        <v>326</v>
      </c>
      <c r="K59" t="s">
        <v>583</v>
      </c>
    </row>
    <row r="60" spans="1:11" x14ac:dyDescent="0.35">
      <c r="A60" t="s">
        <v>184</v>
      </c>
      <c r="B60" t="s">
        <v>256</v>
      </c>
      <c r="C60">
        <v>747.76</v>
      </c>
      <c r="D60" t="s">
        <v>392</v>
      </c>
      <c r="E60">
        <v>5</v>
      </c>
      <c r="F60" t="s">
        <v>401</v>
      </c>
      <c r="G60" t="s">
        <v>402</v>
      </c>
      <c r="H60" t="s">
        <v>407</v>
      </c>
      <c r="I60" t="s">
        <v>409</v>
      </c>
      <c r="J60" t="s">
        <v>326</v>
      </c>
      <c r="K60" t="s">
        <v>583</v>
      </c>
    </row>
    <row r="61" spans="1:11" x14ac:dyDescent="0.35">
      <c r="A61" t="s">
        <v>46</v>
      </c>
      <c r="B61" t="s">
        <v>234</v>
      </c>
      <c r="C61">
        <v>110.91</v>
      </c>
      <c r="D61" t="s">
        <v>392</v>
      </c>
      <c r="E61">
        <v>2</v>
      </c>
      <c r="F61" t="s">
        <v>399</v>
      </c>
      <c r="G61" t="s">
        <v>403</v>
      </c>
      <c r="H61" t="s">
        <v>408</v>
      </c>
      <c r="I61" t="s">
        <v>409</v>
      </c>
      <c r="J61" t="s">
        <v>326</v>
      </c>
      <c r="K61" t="s">
        <v>583</v>
      </c>
    </row>
    <row r="62" spans="1:11" x14ac:dyDescent="0.35">
      <c r="A62" t="s">
        <v>26</v>
      </c>
      <c r="B62" t="s">
        <v>227</v>
      </c>
      <c r="C62">
        <v>104.47</v>
      </c>
      <c r="D62" t="s">
        <v>396</v>
      </c>
      <c r="E62">
        <v>3</v>
      </c>
      <c r="F62" t="s">
        <v>398</v>
      </c>
      <c r="G62" t="s">
        <v>403</v>
      </c>
      <c r="H62" t="s">
        <v>405</v>
      </c>
      <c r="I62" t="s">
        <v>410</v>
      </c>
      <c r="J62" t="s">
        <v>332</v>
      </c>
      <c r="K62" t="s">
        <v>582</v>
      </c>
    </row>
    <row r="63" spans="1:11" x14ac:dyDescent="0.35">
      <c r="A63" t="s">
        <v>168</v>
      </c>
      <c r="B63" t="s">
        <v>211</v>
      </c>
      <c r="C63">
        <v>4578.91</v>
      </c>
      <c r="D63" t="s">
        <v>394</v>
      </c>
      <c r="E63">
        <v>1</v>
      </c>
      <c r="F63" t="s">
        <v>397</v>
      </c>
      <c r="G63" t="s">
        <v>403</v>
      </c>
      <c r="H63" t="s">
        <v>408</v>
      </c>
      <c r="I63" t="s">
        <v>409</v>
      </c>
      <c r="J63" t="s">
        <v>366</v>
      </c>
      <c r="K63" t="s">
        <v>583</v>
      </c>
    </row>
    <row r="64" spans="1:11" x14ac:dyDescent="0.35">
      <c r="A64" t="s">
        <v>60</v>
      </c>
      <c r="B64" t="s">
        <v>346</v>
      </c>
      <c r="C64">
        <v>481.22</v>
      </c>
      <c r="D64" t="s">
        <v>394</v>
      </c>
      <c r="E64">
        <v>4</v>
      </c>
      <c r="F64" t="s">
        <v>399</v>
      </c>
      <c r="G64" t="s">
        <v>403</v>
      </c>
      <c r="H64" t="s">
        <v>404</v>
      </c>
      <c r="I64" t="s">
        <v>410</v>
      </c>
      <c r="J64" t="s">
        <v>366</v>
      </c>
      <c r="K64" t="s">
        <v>583</v>
      </c>
    </row>
    <row r="65" spans="1:11" x14ac:dyDescent="0.35">
      <c r="A65" t="s">
        <v>144</v>
      </c>
      <c r="B65" t="s">
        <v>218</v>
      </c>
      <c r="C65">
        <v>1709.65</v>
      </c>
      <c r="D65" t="s">
        <v>391</v>
      </c>
      <c r="E65">
        <v>2</v>
      </c>
      <c r="F65" t="s">
        <v>398</v>
      </c>
      <c r="G65" t="s">
        <v>402</v>
      </c>
      <c r="H65" t="s">
        <v>408</v>
      </c>
      <c r="I65" t="s">
        <v>409</v>
      </c>
      <c r="J65" t="s">
        <v>366</v>
      </c>
      <c r="K65" t="s">
        <v>582</v>
      </c>
    </row>
    <row r="66" spans="1:11" x14ac:dyDescent="0.35">
      <c r="A66" t="s">
        <v>133</v>
      </c>
      <c r="B66" t="s">
        <v>257</v>
      </c>
      <c r="C66">
        <v>1997.62</v>
      </c>
      <c r="D66" t="s">
        <v>396</v>
      </c>
      <c r="E66">
        <v>1</v>
      </c>
      <c r="F66" t="s">
        <v>398</v>
      </c>
      <c r="G66" t="s">
        <v>402</v>
      </c>
      <c r="H66" t="s">
        <v>408</v>
      </c>
      <c r="I66" t="s">
        <v>409</v>
      </c>
      <c r="J66" t="s">
        <v>287</v>
      </c>
      <c r="K66" t="s">
        <v>583</v>
      </c>
    </row>
    <row r="67" spans="1:11" x14ac:dyDescent="0.35">
      <c r="A67" t="s">
        <v>83</v>
      </c>
      <c r="B67" t="s">
        <v>336</v>
      </c>
      <c r="C67">
        <v>765.26</v>
      </c>
      <c r="D67" t="s">
        <v>394</v>
      </c>
      <c r="E67">
        <v>3</v>
      </c>
      <c r="F67" t="s">
        <v>401</v>
      </c>
      <c r="G67" t="s">
        <v>402</v>
      </c>
      <c r="H67" t="s">
        <v>404</v>
      </c>
      <c r="I67" t="s">
        <v>410</v>
      </c>
      <c r="J67" t="s">
        <v>287</v>
      </c>
      <c r="K67" t="s">
        <v>582</v>
      </c>
    </row>
    <row r="68" spans="1:11" x14ac:dyDescent="0.35">
      <c r="A68" t="s">
        <v>199</v>
      </c>
      <c r="B68" t="s">
        <v>350</v>
      </c>
      <c r="C68">
        <v>3373.25</v>
      </c>
      <c r="D68" t="s">
        <v>394</v>
      </c>
      <c r="E68">
        <v>1</v>
      </c>
      <c r="F68" t="s">
        <v>400</v>
      </c>
      <c r="G68" t="s">
        <v>402</v>
      </c>
      <c r="H68" t="s">
        <v>404</v>
      </c>
      <c r="I68" t="s">
        <v>409</v>
      </c>
      <c r="J68" t="s">
        <v>354</v>
      </c>
      <c r="K68" t="s">
        <v>583</v>
      </c>
    </row>
    <row r="69" spans="1:11" x14ac:dyDescent="0.35">
      <c r="A69" t="s">
        <v>37</v>
      </c>
      <c r="B69" t="s">
        <v>233</v>
      </c>
      <c r="C69">
        <v>2402.2800000000002</v>
      </c>
      <c r="D69" t="s">
        <v>391</v>
      </c>
      <c r="E69">
        <v>2</v>
      </c>
      <c r="F69" t="s">
        <v>401</v>
      </c>
      <c r="G69" t="s">
        <v>402</v>
      </c>
      <c r="H69" t="s">
        <v>404</v>
      </c>
      <c r="I69" t="s">
        <v>409</v>
      </c>
      <c r="J69" t="s">
        <v>320</v>
      </c>
      <c r="K69" t="s">
        <v>582</v>
      </c>
    </row>
    <row r="70" spans="1:11" x14ac:dyDescent="0.35">
      <c r="A70" t="s">
        <v>54</v>
      </c>
      <c r="B70" t="s">
        <v>324</v>
      </c>
      <c r="C70">
        <v>4356.76</v>
      </c>
      <c r="D70" t="s">
        <v>396</v>
      </c>
      <c r="E70">
        <v>2</v>
      </c>
      <c r="F70" t="s">
        <v>399</v>
      </c>
      <c r="G70" t="s">
        <v>403</v>
      </c>
      <c r="H70" t="s">
        <v>404</v>
      </c>
      <c r="I70" t="s">
        <v>409</v>
      </c>
      <c r="J70" t="s">
        <v>320</v>
      </c>
      <c r="K70" t="s">
        <v>583</v>
      </c>
    </row>
    <row r="71" spans="1:11" x14ac:dyDescent="0.35">
      <c r="A71" t="s">
        <v>45</v>
      </c>
      <c r="B71" t="s">
        <v>219</v>
      </c>
      <c r="C71">
        <v>1671.06</v>
      </c>
      <c r="D71" t="s">
        <v>393</v>
      </c>
      <c r="E71">
        <v>1</v>
      </c>
      <c r="F71" t="s">
        <v>397</v>
      </c>
      <c r="G71" t="s">
        <v>403</v>
      </c>
      <c r="H71" t="s">
        <v>406</v>
      </c>
      <c r="I71" t="s">
        <v>410</v>
      </c>
      <c r="J71" t="s">
        <v>320</v>
      </c>
      <c r="K71" t="s">
        <v>583</v>
      </c>
    </row>
    <row r="72" spans="1:11" x14ac:dyDescent="0.35">
      <c r="A72" t="s">
        <v>119</v>
      </c>
      <c r="B72" t="s">
        <v>336</v>
      </c>
      <c r="C72">
        <v>1065.83</v>
      </c>
      <c r="D72" t="s">
        <v>395</v>
      </c>
      <c r="E72">
        <v>4</v>
      </c>
      <c r="F72" t="s">
        <v>397</v>
      </c>
      <c r="G72" t="s">
        <v>403</v>
      </c>
      <c r="H72" t="s">
        <v>405</v>
      </c>
      <c r="I72" t="s">
        <v>409</v>
      </c>
      <c r="J72" t="s">
        <v>320</v>
      </c>
      <c r="K72" t="s">
        <v>582</v>
      </c>
    </row>
    <row r="73" spans="1:11" x14ac:dyDescent="0.35">
      <c r="A73" t="s">
        <v>96</v>
      </c>
      <c r="B73" t="s">
        <v>248</v>
      </c>
      <c r="C73">
        <v>2670.41</v>
      </c>
      <c r="D73" t="s">
        <v>393</v>
      </c>
      <c r="E73">
        <v>2</v>
      </c>
      <c r="F73" t="s">
        <v>398</v>
      </c>
      <c r="G73" t="s">
        <v>402</v>
      </c>
      <c r="H73" t="s">
        <v>408</v>
      </c>
      <c r="I73" t="s">
        <v>409</v>
      </c>
      <c r="J73" t="s">
        <v>268</v>
      </c>
      <c r="K73" t="s">
        <v>582</v>
      </c>
    </row>
    <row r="74" spans="1:11" x14ac:dyDescent="0.35">
      <c r="A74" t="s">
        <v>38</v>
      </c>
      <c r="B74" t="s">
        <v>276</v>
      </c>
      <c r="C74">
        <v>1377.8</v>
      </c>
      <c r="D74" t="s">
        <v>391</v>
      </c>
      <c r="E74">
        <v>3</v>
      </c>
      <c r="F74" t="s">
        <v>398</v>
      </c>
      <c r="G74" t="s">
        <v>402</v>
      </c>
      <c r="H74" t="s">
        <v>407</v>
      </c>
      <c r="I74" t="s">
        <v>409</v>
      </c>
      <c r="J74" t="s">
        <v>357</v>
      </c>
      <c r="K74" t="s">
        <v>583</v>
      </c>
    </row>
    <row r="75" spans="1:11" x14ac:dyDescent="0.35">
      <c r="A75" t="s">
        <v>146</v>
      </c>
      <c r="B75" t="s">
        <v>319</v>
      </c>
      <c r="C75">
        <v>4705.17</v>
      </c>
      <c r="D75" t="s">
        <v>394</v>
      </c>
      <c r="E75">
        <v>5</v>
      </c>
      <c r="F75" t="s">
        <v>401</v>
      </c>
      <c r="G75" t="s">
        <v>402</v>
      </c>
      <c r="H75" t="s">
        <v>404</v>
      </c>
      <c r="I75" t="s">
        <v>409</v>
      </c>
      <c r="J75" t="s">
        <v>357</v>
      </c>
      <c r="K75" t="s">
        <v>583</v>
      </c>
    </row>
    <row r="76" spans="1:11" x14ac:dyDescent="0.35">
      <c r="A76" t="s">
        <v>72</v>
      </c>
      <c r="B76" t="s">
        <v>249</v>
      </c>
      <c r="C76">
        <v>1014.85</v>
      </c>
      <c r="D76" t="s">
        <v>393</v>
      </c>
      <c r="E76">
        <v>5</v>
      </c>
      <c r="F76" t="s">
        <v>400</v>
      </c>
      <c r="G76" t="s">
        <v>402</v>
      </c>
      <c r="H76" t="s">
        <v>407</v>
      </c>
      <c r="I76" t="s">
        <v>409</v>
      </c>
      <c r="J76" t="s">
        <v>273</v>
      </c>
      <c r="K76" t="s">
        <v>582</v>
      </c>
    </row>
    <row r="77" spans="1:11" x14ac:dyDescent="0.35">
      <c r="A77" t="s">
        <v>11</v>
      </c>
      <c r="B77" t="s">
        <v>304</v>
      </c>
      <c r="C77">
        <v>3873.79</v>
      </c>
      <c r="D77" t="s">
        <v>396</v>
      </c>
      <c r="E77">
        <v>3</v>
      </c>
      <c r="F77" t="s">
        <v>400</v>
      </c>
      <c r="G77" t="s">
        <v>403</v>
      </c>
      <c r="H77" t="s">
        <v>407</v>
      </c>
      <c r="I77" t="s">
        <v>410</v>
      </c>
      <c r="J77" t="s">
        <v>273</v>
      </c>
      <c r="K77" t="s">
        <v>583</v>
      </c>
    </row>
    <row r="78" spans="1:11" x14ac:dyDescent="0.35">
      <c r="A78" t="s">
        <v>66</v>
      </c>
      <c r="B78" t="s">
        <v>312</v>
      </c>
      <c r="C78">
        <v>3784.45</v>
      </c>
      <c r="D78" t="s">
        <v>393</v>
      </c>
      <c r="E78">
        <v>2</v>
      </c>
      <c r="F78" t="s">
        <v>398</v>
      </c>
      <c r="G78" t="s">
        <v>403</v>
      </c>
      <c r="H78" t="s">
        <v>406</v>
      </c>
      <c r="I78" t="s">
        <v>410</v>
      </c>
      <c r="J78" t="s">
        <v>273</v>
      </c>
      <c r="K78" t="s">
        <v>583</v>
      </c>
    </row>
    <row r="79" spans="1:11" x14ac:dyDescent="0.35">
      <c r="A79" t="s">
        <v>178</v>
      </c>
      <c r="B79" t="s">
        <v>295</v>
      </c>
      <c r="C79">
        <v>3293.06</v>
      </c>
      <c r="D79" t="s">
        <v>396</v>
      </c>
      <c r="E79">
        <v>1</v>
      </c>
      <c r="F79" t="s">
        <v>401</v>
      </c>
      <c r="G79" t="s">
        <v>403</v>
      </c>
      <c r="H79" t="s">
        <v>407</v>
      </c>
      <c r="I79" t="s">
        <v>410</v>
      </c>
      <c r="J79" t="s">
        <v>273</v>
      </c>
      <c r="K79" t="s">
        <v>583</v>
      </c>
    </row>
    <row r="80" spans="1:11" x14ac:dyDescent="0.35">
      <c r="A80" t="s">
        <v>187</v>
      </c>
      <c r="B80" t="s">
        <v>362</v>
      </c>
      <c r="C80">
        <v>2464.89</v>
      </c>
      <c r="D80" t="s">
        <v>395</v>
      </c>
      <c r="E80">
        <v>2</v>
      </c>
      <c r="F80" t="s">
        <v>401</v>
      </c>
      <c r="G80" t="s">
        <v>403</v>
      </c>
      <c r="H80" t="s">
        <v>407</v>
      </c>
      <c r="I80" t="s">
        <v>410</v>
      </c>
      <c r="J80" t="s">
        <v>273</v>
      </c>
      <c r="K80" t="s">
        <v>583</v>
      </c>
    </row>
    <row r="81" spans="1:11" x14ac:dyDescent="0.35">
      <c r="A81" t="s">
        <v>126</v>
      </c>
      <c r="B81" t="s">
        <v>249</v>
      </c>
      <c r="C81">
        <v>1886.56</v>
      </c>
      <c r="D81" t="s">
        <v>396</v>
      </c>
      <c r="E81">
        <v>1</v>
      </c>
      <c r="F81" t="s">
        <v>400</v>
      </c>
      <c r="G81" t="s">
        <v>403</v>
      </c>
      <c r="H81" t="s">
        <v>404</v>
      </c>
      <c r="I81" t="s">
        <v>410</v>
      </c>
      <c r="J81" t="s">
        <v>273</v>
      </c>
      <c r="K81" t="s">
        <v>583</v>
      </c>
    </row>
    <row r="82" spans="1:11" x14ac:dyDescent="0.35">
      <c r="A82" t="s">
        <v>32</v>
      </c>
      <c r="B82" t="s">
        <v>216</v>
      </c>
      <c r="C82">
        <v>1497.97</v>
      </c>
      <c r="D82" t="s">
        <v>394</v>
      </c>
      <c r="E82">
        <v>3</v>
      </c>
      <c r="F82" t="s">
        <v>398</v>
      </c>
      <c r="G82" t="s">
        <v>403</v>
      </c>
      <c r="H82" t="s">
        <v>408</v>
      </c>
      <c r="I82" t="s">
        <v>409</v>
      </c>
      <c r="J82" t="s">
        <v>370</v>
      </c>
      <c r="K82" t="s">
        <v>583</v>
      </c>
    </row>
    <row r="83" spans="1:11" x14ac:dyDescent="0.35">
      <c r="A83" t="s">
        <v>64</v>
      </c>
      <c r="B83" t="s">
        <v>256</v>
      </c>
      <c r="C83">
        <v>1884.73</v>
      </c>
      <c r="D83" t="s">
        <v>396</v>
      </c>
      <c r="E83">
        <v>2</v>
      </c>
      <c r="F83" t="s">
        <v>398</v>
      </c>
      <c r="G83" t="s">
        <v>403</v>
      </c>
      <c r="H83" t="s">
        <v>405</v>
      </c>
      <c r="I83" t="s">
        <v>409</v>
      </c>
      <c r="J83" t="s">
        <v>370</v>
      </c>
      <c r="K83" t="s">
        <v>583</v>
      </c>
    </row>
    <row r="84" spans="1:11" x14ac:dyDescent="0.35">
      <c r="A84" t="s">
        <v>18</v>
      </c>
      <c r="B84" t="s">
        <v>233</v>
      </c>
      <c r="C84">
        <v>3641.24</v>
      </c>
      <c r="D84" t="s">
        <v>394</v>
      </c>
      <c r="E84">
        <v>4</v>
      </c>
      <c r="F84" t="s">
        <v>397</v>
      </c>
      <c r="G84" t="s">
        <v>402</v>
      </c>
      <c r="H84" t="s">
        <v>404</v>
      </c>
      <c r="I84" t="s">
        <v>410</v>
      </c>
      <c r="J84" t="s">
        <v>343</v>
      </c>
      <c r="K84" t="s">
        <v>583</v>
      </c>
    </row>
    <row r="85" spans="1:11" x14ac:dyDescent="0.35">
      <c r="A85" t="s">
        <v>182</v>
      </c>
      <c r="B85" t="s">
        <v>324</v>
      </c>
      <c r="C85">
        <v>308.06</v>
      </c>
      <c r="D85" t="s">
        <v>395</v>
      </c>
      <c r="E85">
        <v>2</v>
      </c>
      <c r="F85" t="s">
        <v>397</v>
      </c>
      <c r="G85" t="s">
        <v>402</v>
      </c>
      <c r="H85" t="s">
        <v>407</v>
      </c>
      <c r="I85" t="s">
        <v>409</v>
      </c>
      <c r="J85" t="s">
        <v>343</v>
      </c>
      <c r="K85" t="s">
        <v>583</v>
      </c>
    </row>
    <row r="86" spans="1:11" x14ac:dyDescent="0.35">
      <c r="A86" t="s">
        <v>74</v>
      </c>
      <c r="B86" t="s">
        <v>247</v>
      </c>
      <c r="C86">
        <v>4212.9399999999996</v>
      </c>
      <c r="D86" t="s">
        <v>391</v>
      </c>
      <c r="E86">
        <v>1</v>
      </c>
      <c r="F86" t="s">
        <v>399</v>
      </c>
      <c r="G86" t="s">
        <v>403</v>
      </c>
      <c r="H86" t="s">
        <v>405</v>
      </c>
      <c r="I86" t="s">
        <v>410</v>
      </c>
      <c r="J86" t="s">
        <v>383</v>
      </c>
      <c r="K86" t="s">
        <v>583</v>
      </c>
    </row>
    <row r="87" spans="1:11" x14ac:dyDescent="0.35">
      <c r="A87" t="s">
        <v>77</v>
      </c>
      <c r="B87" t="s">
        <v>257</v>
      </c>
      <c r="C87">
        <v>4114.47</v>
      </c>
      <c r="D87" t="s">
        <v>391</v>
      </c>
      <c r="E87">
        <v>2</v>
      </c>
      <c r="F87" t="s">
        <v>398</v>
      </c>
      <c r="G87" t="s">
        <v>403</v>
      </c>
      <c r="H87" t="s">
        <v>408</v>
      </c>
      <c r="I87" t="s">
        <v>409</v>
      </c>
      <c r="J87" t="s">
        <v>383</v>
      </c>
      <c r="K87" t="s">
        <v>582</v>
      </c>
    </row>
    <row r="88" spans="1:11" x14ac:dyDescent="0.35">
      <c r="A88" t="s">
        <v>92</v>
      </c>
      <c r="B88" t="s">
        <v>288</v>
      </c>
      <c r="C88">
        <v>587.04</v>
      </c>
      <c r="D88" t="s">
        <v>396</v>
      </c>
      <c r="E88">
        <v>5</v>
      </c>
      <c r="F88" t="s">
        <v>397</v>
      </c>
      <c r="G88" t="s">
        <v>402</v>
      </c>
      <c r="H88" t="s">
        <v>408</v>
      </c>
      <c r="I88" t="s">
        <v>409</v>
      </c>
      <c r="J88" t="s">
        <v>341</v>
      </c>
      <c r="K88" t="s">
        <v>583</v>
      </c>
    </row>
    <row r="89" spans="1:11" x14ac:dyDescent="0.35">
      <c r="A89" t="s">
        <v>186</v>
      </c>
      <c r="B89" t="s">
        <v>222</v>
      </c>
      <c r="C89">
        <v>1127.6500000000001</v>
      </c>
      <c r="D89" t="s">
        <v>392</v>
      </c>
      <c r="E89">
        <v>1</v>
      </c>
      <c r="F89" t="s">
        <v>401</v>
      </c>
      <c r="G89" t="s">
        <v>402</v>
      </c>
      <c r="H89" t="s">
        <v>406</v>
      </c>
      <c r="I89" t="s">
        <v>409</v>
      </c>
      <c r="J89" t="s">
        <v>341</v>
      </c>
      <c r="K89" t="s">
        <v>582</v>
      </c>
    </row>
    <row r="90" spans="1:11" x14ac:dyDescent="0.35">
      <c r="A90" t="s">
        <v>81</v>
      </c>
      <c r="B90" t="s">
        <v>355</v>
      </c>
      <c r="C90">
        <v>1546.83</v>
      </c>
      <c r="D90" t="s">
        <v>393</v>
      </c>
      <c r="E90">
        <v>1</v>
      </c>
      <c r="F90" t="s">
        <v>400</v>
      </c>
      <c r="G90" t="s">
        <v>403</v>
      </c>
      <c r="H90" t="s">
        <v>408</v>
      </c>
      <c r="I90" t="s">
        <v>409</v>
      </c>
      <c r="J90" t="s">
        <v>329</v>
      </c>
      <c r="K90" t="s">
        <v>583</v>
      </c>
    </row>
    <row r="91" spans="1:11" x14ac:dyDescent="0.35">
      <c r="A91" t="s">
        <v>156</v>
      </c>
      <c r="B91" t="s">
        <v>348</v>
      </c>
      <c r="C91">
        <v>3157.08</v>
      </c>
      <c r="D91" t="s">
        <v>391</v>
      </c>
      <c r="E91">
        <v>5</v>
      </c>
      <c r="F91" t="s">
        <v>401</v>
      </c>
      <c r="G91" t="s">
        <v>403</v>
      </c>
      <c r="H91" t="s">
        <v>405</v>
      </c>
      <c r="I91" t="s">
        <v>410</v>
      </c>
      <c r="J91" t="s">
        <v>329</v>
      </c>
      <c r="K91" t="s">
        <v>583</v>
      </c>
    </row>
    <row r="92" spans="1:11" x14ac:dyDescent="0.35">
      <c r="A92" t="s">
        <v>41</v>
      </c>
      <c r="B92" t="s">
        <v>238</v>
      </c>
      <c r="C92">
        <v>4031.06</v>
      </c>
      <c r="D92" t="s">
        <v>393</v>
      </c>
      <c r="E92">
        <v>2</v>
      </c>
      <c r="F92" t="s">
        <v>398</v>
      </c>
      <c r="G92" t="s">
        <v>402</v>
      </c>
      <c r="H92" t="s">
        <v>405</v>
      </c>
      <c r="I92" t="s">
        <v>410</v>
      </c>
      <c r="J92" t="s">
        <v>245</v>
      </c>
      <c r="K92" t="s">
        <v>582</v>
      </c>
    </row>
    <row r="93" spans="1:11" x14ac:dyDescent="0.35">
      <c r="A93" t="s">
        <v>93</v>
      </c>
      <c r="B93" t="s">
        <v>299</v>
      </c>
      <c r="C93">
        <v>1930.91</v>
      </c>
      <c r="D93" t="s">
        <v>393</v>
      </c>
      <c r="E93">
        <v>3</v>
      </c>
      <c r="F93" t="s">
        <v>397</v>
      </c>
      <c r="G93" t="s">
        <v>403</v>
      </c>
      <c r="H93" t="s">
        <v>406</v>
      </c>
      <c r="I93" t="s">
        <v>409</v>
      </c>
      <c r="J93" t="s">
        <v>245</v>
      </c>
      <c r="K93" t="s">
        <v>583</v>
      </c>
    </row>
    <row r="94" spans="1:11" x14ac:dyDescent="0.35">
      <c r="A94" t="s">
        <v>95</v>
      </c>
      <c r="B94" t="s">
        <v>340</v>
      </c>
      <c r="C94">
        <v>1178.6099999999999</v>
      </c>
      <c r="D94" t="s">
        <v>396</v>
      </c>
      <c r="E94">
        <v>2</v>
      </c>
      <c r="F94" t="s">
        <v>398</v>
      </c>
      <c r="G94" t="s">
        <v>403</v>
      </c>
      <c r="H94" t="s">
        <v>405</v>
      </c>
      <c r="I94" t="s">
        <v>410</v>
      </c>
      <c r="J94" t="s">
        <v>245</v>
      </c>
      <c r="K94" t="s">
        <v>583</v>
      </c>
    </row>
    <row r="95" spans="1:11" x14ac:dyDescent="0.35">
      <c r="A95" t="s">
        <v>31</v>
      </c>
      <c r="B95" t="s">
        <v>257</v>
      </c>
      <c r="C95">
        <v>2503.1</v>
      </c>
      <c r="D95" t="s">
        <v>394</v>
      </c>
      <c r="E95">
        <v>2</v>
      </c>
      <c r="F95" t="s">
        <v>398</v>
      </c>
      <c r="G95" t="s">
        <v>402</v>
      </c>
      <c r="H95" t="s">
        <v>404</v>
      </c>
      <c r="I95" t="s">
        <v>410</v>
      </c>
      <c r="J95" t="s">
        <v>306</v>
      </c>
      <c r="K95" t="s">
        <v>582</v>
      </c>
    </row>
    <row r="96" spans="1:11" x14ac:dyDescent="0.35">
      <c r="A96" t="s">
        <v>69</v>
      </c>
      <c r="B96" t="s">
        <v>221</v>
      </c>
      <c r="C96">
        <v>1771.44</v>
      </c>
      <c r="D96" t="s">
        <v>394</v>
      </c>
      <c r="E96">
        <v>3</v>
      </c>
      <c r="F96" t="s">
        <v>401</v>
      </c>
      <c r="G96" t="s">
        <v>402</v>
      </c>
      <c r="H96" t="s">
        <v>405</v>
      </c>
      <c r="I96" t="s">
        <v>409</v>
      </c>
      <c r="J96" t="s">
        <v>306</v>
      </c>
      <c r="K96" t="s">
        <v>583</v>
      </c>
    </row>
    <row r="97" spans="1:11" x14ac:dyDescent="0.35">
      <c r="A97" t="s">
        <v>107</v>
      </c>
      <c r="B97" t="s">
        <v>240</v>
      </c>
      <c r="C97">
        <v>189.3</v>
      </c>
      <c r="D97" t="s">
        <v>392</v>
      </c>
      <c r="E97">
        <v>2</v>
      </c>
      <c r="F97" t="s">
        <v>399</v>
      </c>
      <c r="G97" t="s">
        <v>403</v>
      </c>
      <c r="H97" t="s">
        <v>405</v>
      </c>
      <c r="I97" t="s">
        <v>410</v>
      </c>
      <c r="J97" t="s">
        <v>306</v>
      </c>
      <c r="K97" t="s">
        <v>583</v>
      </c>
    </row>
    <row r="98" spans="1:11" x14ac:dyDescent="0.35">
      <c r="A98" t="s">
        <v>13</v>
      </c>
      <c r="B98" t="s">
        <v>369</v>
      </c>
      <c r="C98">
        <v>4234.87</v>
      </c>
      <c r="D98" t="s">
        <v>396</v>
      </c>
      <c r="E98">
        <v>1</v>
      </c>
      <c r="F98" t="s">
        <v>398</v>
      </c>
      <c r="G98" t="s">
        <v>403</v>
      </c>
      <c r="H98" t="s">
        <v>405</v>
      </c>
      <c r="I98" t="s">
        <v>409</v>
      </c>
      <c r="J98" t="s">
        <v>306</v>
      </c>
      <c r="K98" t="s">
        <v>582</v>
      </c>
    </row>
    <row r="99" spans="1:11" x14ac:dyDescent="0.35">
      <c r="A99" t="s">
        <v>54</v>
      </c>
      <c r="B99" t="s">
        <v>271</v>
      </c>
      <c r="C99">
        <v>4950.1499999999996</v>
      </c>
      <c r="D99" t="s">
        <v>395</v>
      </c>
      <c r="E99">
        <v>3</v>
      </c>
      <c r="F99" t="s">
        <v>401</v>
      </c>
      <c r="G99" t="s">
        <v>403</v>
      </c>
      <c r="H99" t="s">
        <v>407</v>
      </c>
      <c r="I99" t="s">
        <v>410</v>
      </c>
      <c r="J99" t="s">
        <v>305</v>
      </c>
      <c r="K99" t="s">
        <v>582</v>
      </c>
    </row>
    <row r="100" spans="1:11" x14ac:dyDescent="0.35">
      <c r="A100" t="s">
        <v>136</v>
      </c>
      <c r="B100" t="s">
        <v>326</v>
      </c>
      <c r="C100">
        <v>1708.36</v>
      </c>
      <c r="D100" t="s">
        <v>396</v>
      </c>
      <c r="E100">
        <v>4</v>
      </c>
      <c r="F100" t="s">
        <v>401</v>
      </c>
      <c r="G100" t="s">
        <v>402</v>
      </c>
      <c r="H100" t="s">
        <v>405</v>
      </c>
      <c r="I100" t="s">
        <v>410</v>
      </c>
      <c r="J100" t="s">
        <v>305</v>
      </c>
      <c r="K100" t="s">
        <v>582</v>
      </c>
    </row>
    <row r="101" spans="1:11" x14ac:dyDescent="0.35">
      <c r="A101" t="s">
        <v>136</v>
      </c>
      <c r="B101" t="s">
        <v>334</v>
      </c>
      <c r="C101">
        <v>3729.15</v>
      </c>
      <c r="D101" t="s">
        <v>395</v>
      </c>
      <c r="E101">
        <v>3</v>
      </c>
      <c r="F101" t="s">
        <v>398</v>
      </c>
      <c r="G101" t="s">
        <v>402</v>
      </c>
      <c r="H101" t="s">
        <v>408</v>
      </c>
      <c r="I101" t="s">
        <v>409</v>
      </c>
      <c r="J101" t="s">
        <v>305</v>
      </c>
      <c r="K101" t="s">
        <v>582</v>
      </c>
    </row>
    <row r="102" spans="1:11" x14ac:dyDescent="0.35">
      <c r="A102" t="s">
        <v>190</v>
      </c>
      <c r="B102" t="s">
        <v>355</v>
      </c>
      <c r="C102">
        <v>3173.2</v>
      </c>
      <c r="D102" t="s">
        <v>396</v>
      </c>
      <c r="E102">
        <v>5</v>
      </c>
      <c r="F102" t="s">
        <v>399</v>
      </c>
      <c r="G102" t="s">
        <v>403</v>
      </c>
      <c r="H102" t="s">
        <v>408</v>
      </c>
      <c r="I102" t="s">
        <v>409</v>
      </c>
      <c r="J102" t="s">
        <v>305</v>
      </c>
      <c r="K102" t="s">
        <v>582</v>
      </c>
    </row>
    <row r="103" spans="1:11" x14ac:dyDescent="0.35">
      <c r="A103" t="s">
        <v>130</v>
      </c>
      <c r="B103" t="s">
        <v>227</v>
      </c>
      <c r="C103">
        <v>3236.95</v>
      </c>
      <c r="D103" t="s">
        <v>395</v>
      </c>
      <c r="E103">
        <v>2</v>
      </c>
      <c r="F103" t="s">
        <v>398</v>
      </c>
      <c r="G103" t="s">
        <v>403</v>
      </c>
      <c r="H103" t="s">
        <v>405</v>
      </c>
      <c r="I103" t="s">
        <v>410</v>
      </c>
      <c r="J103" t="s">
        <v>305</v>
      </c>
      <c r="K103" t="s">
        <v>583</v>
      </c>
    </row>
    <row r="104" spans="1:11" x14ac:dyDescent="0.35">
      <c r="A104" t="s">
        <v>19</v>
      </c>
      <c r="B104" t="s">
        <v>257</v>
      </c>
      <c r="C104">
        <v>2522.02</v>
      </c>
      <c r="D104" t="s">
        <v>396</v>
      </c>
      <c r="E104">
        <v>5</v>
      </c>
      <c r="F104" t="s">
        <v>397</v>
      </c>
      <c r="G104" t="s">
        <v>402</v>
      </c>
      <c r="H104" t="s">
        <v>404</v>
      </c>
      <c r="I104" t="s">
        <v>409</v>
      </c>
      <c r="J104" t="s">
        <v>239</v>
      </c>
      <c r="K104" t="s">
        <v>582</v>
      </c>
    </row>
    <row r="105" spans="1:11" x14ac:dyDescent="0.35">
      <c r="A105" t="s">
        <v>41</v>
      </c>
      <c r="B105" t="s">
        <v>248</v>
      </c>
      <c r="C105">
        <v>3261.13</v>
      </c>
      <c r="D105" t="s">
        <v>395</v>
      </c>
      <c r="E105">
        <v>2</v>
      </c>
      <c r="F105" t="s">
        <v>398</v>
      </c>
      <c r="G105" t="s">
        <v>402</v>
      </c>
      <c r="H105" t="s">
        <v>408</v>
      </c>
      <c r="I105" t="s">
        <v>410</v>
      </c>
      <c r="J105" t="s">
        <v>241</v>
      </c>
      <c r="K105" t="s">
        <v>582</v>
      </c>
    </row>
    <row r="106" spans="1:11" x14ac:dyDescent="0.35">
      <c r="A106" t="s">
        <v>135</v>
      </c>
      <c r="B106" t="s">
        <v>387</v>
      </c>
      <c r="C106">
        <v>4570.91</v>
      </c>
      <c r="D106" t="s">
        <v>392</v>
      </c>
      <c r="E106">
        <v>1</v>
      </c>
      <c r="F106" t="s">
        <v>397</v>
      </c>
      <c r="G106" t="s">
        <v>403</v>
      </c>
      <c r="H106" t="s">
        <v>408</v>
      </c>
      <c r="I106" t="s">
        <v>410</v>
      </c>
      <c r="J106" t="s">
        <v>331</v>
      </c>
      <c r="K106" t="s">
        <v>582</v>
      </c>
    </row>
    <row r="107" spans="1:11" x14ac:dyDescent="0.35">
      <c r="A107" t="s">
        <v>54</v>
      </c>
      <c r="B107" t="s">
        <v>234</v>
      </c>
      <c r="C107">
        <v>643.92999999999995</v>
      </c>
      <c r="D107" t="s">
        <v>396</v>
      </c>
      <c r="E107">
        <v>5</v>
      </c>
      <c r="F107" t="s">
        <v>397</v>
      </c>
      <c r="G107" t="s">
        <v>402</v>
      </c>
      <c r="H107" t="s">
        <v>408</v>
      </c>
      <c r="I107" t="s">
        <v>410</v>
      </c>
      <c r="J107" t="s">
        <v>314</v>
      </c>
      <c r="K107" t="s">
        <v>583</v>
      </c>
    </row>
    <row r="108" spans="1:11" x14ac:dyDescent="0.35">
      <c r="A108" t="s">
        <v>53</v>
      </c>
      <c r="B108" t="s">
        <v>247</v>
      </c>
      <c r="C108">
        <v>354.65</v>
      </c>
      <c r="D108" t="s">
        <v>396</v>
      </c>
      <c r="E108">
        <v>3</v>
      </c>
      <c r="F108" t="s">
        <v>397</v>
      </c>
      <c r="G108" t="s">
        <v>402</v>
      </c>
      <c r="H108" t="s">
        <v>408</v>
      </c>
      <c r="I108" t="s">
        <v>410</v>
      </c>
      <c r="J108" t="s">
        <v>314</v>
      </c>
      <c r="K108" t="s">
        <v>583</v>
      </c>
    </row>
    <row r="109" spans="1:11" x14ac:dyDescent="0.35">
      <c r="A109" t="s">
        <v>126</v>
      </c>
      <c r="B109" t="s">
        <v>319</v>
      </c>
      <c r="C109">
        <v>1367.82</v>
      </c>
      <c r="D109" t="s">
        <v>394</v>
      </c>
      <c r="E109">
        <v>4</v>
      </c>
      <c r="F109" t="s">
        <v>397</v>
      </c>
      <c r="G109" t="s">
        <v>403</v>
      </c>
      <c r="H109" t="s">
        <v>404</v>
      </c>
      <c r="I109" t="s">
        <v>410</v>
      </c>
      <c r="J109" t="s">
        <v>262</v>
      </c>
      <c r="K109" t="s">
        <v>583</v>
      </c>
    </row>
    <row r="110" spans="1:11" x14ac:dyDescent="0.35">
      <c r="A110" t="s">
        <v>139</v>
      </c>
      <c r="B110" t="s">
        <v>338</v>
      </c>
      <c r="C110">
        <v>2280.0100000000002</v>
      </c>
      <c r="D110" t="s">
        <v>391</v>
      </c>
      <c r="E110">
        <v>3</v>
      </c>
      <c r="F110" t="s">
        <v>399</v>
      </c>
      <c r="G110" t="s">
        <v>402</v>
      </c>
      <c r="H110" t="s">
        <v>406</v>
      </c>
      <c r="I110" t="s">
        <v>409</v>
      </c>
      <c r="J110" t="s">
        <v>311</v>
      </c>
      <c r="K110" t="s">
        <v>583</v>
      </c>
    </row>
    <row r="111" spans="1:11" x14ac:dyDescent="0.35">
      <c r="A111" t="s">
        <v>92</v>
      </c>
      <c r="B111" t="s">
        <v>308</v>
      </c>
      <c r="C111">
        <v>2503.63</v>
      </c>
      <c r="D111" t="s">
        <v>393</v>
      </c>
      <c r="E111">
        <v>4</v>
      </c>
      <c r="F111" t="s">
        <v>400</v>
      </c>
      <c r="G111" t="s">
        <v>403</v>
      </c>
      <c r="H111" t="s">
        <v>406</v>
      </c>
      <c r="I111" t="s">
        <v>410</v>
      </c>
      <c r="J111" t="s">
        <v>311</v>
      </c>
      <c r="K111" t="s">
        <v>582</v>
      </c>
    </row>
    <row r="112" spans="1:11" x14ac:dyDescent="0.35">
      <c r="A112" t="s">
        <v>175</v>
      </c>
      <c r="B112" t="s">
        <v>273</v>
      </c>
      <c r="C112">
        <v>1375.88</v>
      </c>
      <c r="D112" t="s">
        <v>392</v>
      </c>
      <c r="E112">
        <v>3</v>
      </c>
      <c r="F112" t="s">
        <v>400</v>
      </c>
      <c r="G112" t="s">
        <v>402</v>
      </c>
      <c r="H112" t="s">
        <v>407</v>
      </c>
      <c r="I112" t="s">
        <v>409</v>
      </c>
      <c r="J112" t="s">
        <v>311</v>
      </c>
      <c r="K112" t="s">
        <v>582</v>
      </c>
    </row>
    <row r="113" spans="1:11" x14ac:dyDescent="0.35">
      <c r="A113" t="s">
        <v>100</v>
      </c>
      <c r="B113" t="s">
        <v>301</v>
      </c>
      <c r="C113">
        <v>2929.66</v>
      </c>
      <c r="D113" t="s">
        <v>391</v>
      </c>
      <c r="E113">
        <v>3</v>
      </c>
      <c r="F113" t="s">
        <v>399</v>
      </c>
      <c r="G113" t="s">
        <v>403</v>
      </c>
      <c r="H113" t="s">
        <v>405</v>
      </c>
      <c r="I113" t="s">
        <v>410</v>
      </c>
      <c r="J113" t="s">
        <v>237</v>
      </c>
      <c r="K113" t="s">
        <v>583</v>
      </c>
    </row>
    <row r="114" spans="1:11" x14ac:dyDescent="0.35">
      <c r="A114" t="s">
        <v>193</v>
      </c>
      <c r="B114" t="s">
        <v>364</v>
      </c>
      <c r="C114">
        <v>1808.2</v>
      </c>
      <c r="D114" t="s">
        <v>395</v>
      </c>
      <c r="E114">
        <v>2</v>
      </c>
      <c r="F114" t="s">
        <v>398</v>
      </c>
      <c r="G114" t="s">
        <v>402</v>
      </c>
      <c r="H114" t="s">
        <v>406</v>
      </c>
      <c r="I114" t="s">
        <v>410</v>
      </c>
      <c r="J114" t="s">
        <v>237</v>
      </c>
      <c r="K114" t="s">
        <v>583</v>
      </c>
    </row>
    <row r="115" spans="1:11" x14ac:dyDescent="0.35">
      <c r="A115" t="s">
        <v>128</v>
      </c>
      <c r="B115" t="s">
        <v>227</v>
      </c>
      <c r="C115">
        <v>3360.27</v>
      </c>
      <c r="D115" t="s">
        <v>396</v>
      </c>
      <c r="E115">
        <v>3</v>
      </c>
      <c r="F115" t="s">
        <v>400</v>
      </c>
      <c r="G115" t="s">
        <v>402</v>
      </c>
      <c r="H115" t="s">
        <v>404</v>
      </c>
      <c r="I115" t="s">
        <v>410</v>
      </c>
      <c r="J115" t="s">
        <v>292</v>
      </c>
      <c r="K115" t="s">
        <v>582</v>
      </c>
    </row>
    <row r="116" spans="1:11" x14ac:dyDescent="0.35">
      <c r="A116" t="s">
        <v>20</v>
      </c>
      <c r="B116" t="s">
        <v>211</v>
      </c>
      <c r="C116">
        <v>2204</v>
      </c>
      <c r="D116" t="s">
        <v>392</v>
      </c>
      <c r="E116">
        <v>2</v>
      </c>
      <c r="F116" t="s">
        <v>401</v>
      </c>
      <c r="G116" t="s">
        <v>402</v>
      </c>
      <c r="H116" t="s">
        <v>405</v>
      </c>
      <c r="I116" t="s">
        <v>410</v>
      </c>
      <c r="J116" t="s">
        <v>292</v>
      </c>
      <c r="K116" t="s">
        <v>582</v>
      </c>
    </row>
    <row r="117" spans="1:11" x14ac:dyDescent="0.35">
      <c r="A117" t="s">
        <v>38</v>
      </c>
      <c r="B117" t="s">
        <v>216</v>
      </c>
      <c r="C117">
        <v>239.35</v>
      </c>
      <c r="D117" t="s">
        <v>395</v>
      </c>
      <c r="E117">
        <v>4</v>
      </c>
      <c r="F117" t="s">
        <v>399</v>
      </c>
      <c r="G117" t="s">
        <v>403</v>
      </c>
      <c r="H117" t="s">
        <v>406</v>
      </c>
      <c r="I117" t="s">
        <v>410</v>
      </c>
      <c r="J117" t="s">
        <v>289</v>
      </c>
      <c r="K117" t="s">
        <v>583</v>
      </c>
    </row>
    <row r="118" spans="1:11" x14ac:dyDescent="0.35">
      <c r="A118" t="s">
        <v>128</v>
      </c>
      <c r="B118" t="s">
        <v>233</v>
      </c>
      <c r="C118">
        <v>2577.88</v>
      </c>
      <c r="D118" t="s">
        <v>391</v>
      </c>
      <c r="E118">
        <v>2</v>
      </c>
      <c r="F118" t="s">
        <v>398</v>
      </c>
      <c r="G118" t="s">
        <v>402</v>
      </c>
      <c r="H118" t="s">
        <v>404</v>
      </c>
      <c r="I118" t="s">
        <v>409</v>
      </c>
      <c r="J118" t="s">
        <v>289</v>
      </c>
      <c r="K118" t="s">
        <v>582</v>
      </c>
    </row>
    <row r="119" spans="1:11" x14ac:dyDescent="0.35">
      <c r="A119" t="s">
        <v>98</v>
      </c>
      <c r="B119" t="s">
        <v>276</v>
      </c>
      <c r="C119">
        <v>4988.6899999999996</v>
      </c>
      <c r="D119" t="s">
        <v>391</v>
      </c>
      <c r="E119">
        <v>4</v>
      </c>
      <c r="F119" t="s">
        <v>399</v>
      </c>
      <c r="G119" t="s">
        <v>403</v>
      </c>
      <c r="H119" t="s">
        <v>406</v>
      </c>
      <c r="I119" t="s">
        <v>409</v>
      </c>
      <c r="J119" t="s">
        <v>325</v>
      </c>
      <c r="K119" t="s">
        <v>582</v>
      </c>
    </row>
    <row r="120" spans="1:11" x14ac:dyDescent="0.35">
      <c r="A120" t="s">
        <v>115</v>
      </c>
      <c r="B120" t="s">
        <v>219</v>
      </c>
      <c r="C120">
        <v>3855.85</v>
      </c>
      <c r="D120" t="s">
        <v>393</v>
      </c>
      <c r="E120">
        <v>4</v>
      </c>
      <c r="F120" t="s">
        <v>399</v>
      </c>
      <c r="G120" t="s">
        <v>402</v>
      </c>
      <c r="H120" t="s">
        <v>407</v>
      </c>
      <c r="I120" t="s">
        <v>409</v>
      </c>
      <c r="J120" t="s">
        <v>325</v>
      </c>
      <c r="K120" t="s">
        <v>583</v>
      </c>
    </row>
    <row r="121" spans="1:11" x14ac:dyDescent="0.35">
      <c r="A121" t="s">
        <v>64</v>
      </c>
      <c r="B121" t="s">
        <v>369</v>
      </c>
      <c r="C121">
        <v>4126.13</v>
      </c>
      <c r="D121" t="s">
        <v>393</v>
      </c>
      <c r="E121">
        <v>4</v>
      </c>
      <c r="F121" t="s">
        <v>399</v>
      </c>
      <c r="G121" t="s">
        <v>403</v>
      </c>
      <c r="H121" t="s">
        <v>408</v>
      </c>
      <c r="I121" t="s">
        <v>410</v>
      </c>
      <c r="J121" t="s">
        <v>325</v>
      </c>
      <c r="K121" t="s">
        <v>583</v>
      </c>
    </row>
    <row r="122" spans="1:11" x14ac:dyDescent="0.35">
      <c r="A122" t="s">
        <v>23</v>
      </c>
      <c r="B122" t="s">
        <v>321</v>
      </c>
      <c r="C122">
        <v>2342.96</v>
      </c>
      <c r="D122" t="s">
        <v>394</v>
      </c>
      <c r="E122">
        <v>2</v>
      </c>
      <c r="F122" t="s">
        <v>401</v>
      </c>
      <c r="G122" t="s">
        <v>403</v>
      </c>
      <c r="H122" t="s">
        <v>406</v>
      </c>
      <c r="I122" t="s">
        <v>410</v>
      </c>
      <c r="J122" t="s">
        <v>325</v>
      </c>
      <c r="K122" t="s">
        <v>583</v>
      </c>
    </row>
    <row r="123" spans="1:11" x14ac:dyDescent="0.35">
      <c r="A123" t="s">
        <v>190</v>
      </c>
      <c r="B123" t="s">
        <v>267</v>
      </c>
      <c r="C123">
        <v>2107.98</v>
      </c>
      <c r="D123" t="s">
        <v>393</v>
      </c>
      <c r="E123">
        <v>1</v>
      </c>
      <c r="F123" t="s">
        <v>398</v>
      </c>
      <c r="G123" t="s">
        <v>402</v>
      </c>
      <c r="H123" t="s">
        <v>404</v>
      </c>
      <c r="I123" t="s">
        <v>409</v>
      </c>
      <c r="J123" t="s">
        <v>325</v>
      </c>
      <c r="K123" t="s">
        <v>582</v>
      </c>
    </row>
    <row r="124" spans="1:11" x14ac:dyDescent="0.35">
      <c r="A124" t="s">
        <v>159</v>
      </c>
      <c r="B124" t="s">
        <v>273</v>
      </c>
      <c r="C124">
        <v>634.67999999999995</v>
      </c>
      <c r="D124" t="s">
        <v>396</v>
      </c>
      <c r="E124">
        <v>4</v>
      </c>
      <c r="F124" t="s">
        <v>401</v>
      </c>
      <c r="G124" t="s">
        <v>402</v>
      </c>
      <c r="H124" t="s">
        <v>405</v>
      </c>
      <c r="I124" t="s">
        <v>409</v>
      </c>
      <c r="J124" t="s">
        <v>309</v>
      </c>
      <c r="K124" t="s">
        <v>583</v>
      </c>
    </row>
    <row r="125" spans="1:11" x14ac:dyDescent="0.35">
      <c r="A125" t="s">
        <v>40</v>
      </c>
      <c r="B125" t="s">
        <v>281</v>
      </c>
      <c r="C125">
        <v>4972.21</v>
      </c>
      <c r="D125" t="s">
        <v>392</v>
      </c>
      <c r="E125">
        <v>5</v>
      </c>
      <c r="F125" t="s">
        <v>399</v>
      </c>
      <c r="G125" t="s">
        <v>402</v>
      </c>
      <c r="H125" t="s">
        <v>407</v>
      </c>
      <c r="I125" t="s">
        <v>409</v>
      </c>
      <c r="J125" t="s">
        <v>309</v>
      </c>
      <c r="K125" t="s">
        <v>582</v>
      </c>
    </row>
    <row r="126" spans="1:11" x14ac:dyDescent="0.35">
      <c r="A126" t="s">
        <v>198</v>
      </c>
      <c r="B126" t="s">
        <v>276</v>
      </c>
      <c r="C126">
        <v>1388.76</v>
      </c>
      <c r="D126" t="s">
        <v>391</v>
      </c>
      <c r="E126">
        <v>4</v>
      </c>
      <c r="F126" t="s">
        <v>397</v>
      </c>
      <c r="G126" t="s">
        <v>403</v>
      </c>
      <c r="H126" t="s">
        <v>406</v>
      </c>
      <c r="I126" t="s">
        <v>409</v>
      </c>
      <c r="J126" t="s">
        <v>250</v>
      </c>
      <c r="K126" t="s">
        <v>583</v>
      </c>
    </row>
    <row r="127" spans="1:11" x14ac:dyDescent="0.35">
      <c r="A127" t="s">
        <v>125</v>
      </c>
      <c r="B127" t="s">
        <v>245</v>
      </c>
      <c r="C127">
        <v>194.99</v>
      </c>
      <c r="D127" t="s">
        <v>394</v>
      </c>
      <c r="E127">
        <v>3</v>
      </c>
      <c r="F127" t="s">
        <v>400</v>
      </c>
      <c r="G127" t="s">
        <v>402</v>
      </c>
      <c r="H127" t="s">
        <v>408</v>
      </c>
      <c r="I127" t="s">
        <v>409</v>
      </c>
      <c r="J127" t="s">
        <v>250</v>
      </c>
      <c r="K127" t="s">
        <v>582</v>
      </c>
    </row>
    <row r="128" spans="1:11" x14ac:dyDescent="0.35">
      <c r="A128" t="s">
        <v>91</v>
      </c>
      <c r="B128" t="s">
        <v>314</v>
      </c>
      <c r="C128">
        <v>2511.0300000000002</v>
      </c>
      <c r="D128" t="s">
        <v>392</v>
      </c>
      <c r="E128">
        <v>4</v>
      </c>
      <c r="F128" t="s">
        <v>401</v>
      </c>
      <c r="G128" t="s">
        <v>402</v>
      </c>
      <c r="H128" t="s">
        <v>407</v>
      </c>
      <c r="I128" t="s">
        <v>410</v>
      </c>
      <c r="J128" t="s">
        <v>339</v>
      </c>
      <c r="K128" t="s">
        <v>583</v>
      </c>
    </row>
    <row r="129" spans="1:11" x14ac:dyDescent="0.35">
      <c r="A129" t="s">
        <v>111</v>
      </c>
      <c r="B129" t="s">
        <v>326</v>
      </c>
      <c r="C129">
        <v>1276.8</v>
      </c>
      <c r="D129" t="s">
        <v>395</v>
      </c>
      <c r="E129">
        <v>3</v>
      </c>
      <c r="F129" t="s">
        <v>397</v>
      </c>
      <c r="G129" t="s">
        <v>402</v>
      </c>
      <c r="H129" t="s">
        <v>408</v>
      </c>
      <c r="I129" t="s">
        <v>409</v>
      </c>
      <c r="J129" t="s">
        <v>339</v>
      </c>
      <c r="K129" t="s">
        <v>582</v>
      </c>
    </row>
    <row r="130" spans="1:11" x14ac:dyDescent="0.35">
      <c r="A130" t="s">
        <v>46</v>
      </c>
      <c r="B130" t="s">
        <v>369</v>
      </c>
      <c r="C130">
        <v>3836.2</v>
      </c>
      <c r="D130" t="s">
        <v>396</v>
      </c>
      <c r="E130">
        <v>2</v>
      </c>
      <c r="F130" t="s">
        <v>400</v>
      </c>
      <c r="G130" t="s">
        <v>403</v>
      </c>
      <c r="H130" t="s">
        <v>405</v>
      </c>
      <c r="I130" t="s">
        <v>410</v>
      </c>
      <c r="J130" t="s">
        <v>339</v>
      </c>
      <c r="K130" t="s">
        <v>583</v>
      </c>
    </row>
    <row r="131" spans="1:11" x14ac:dyDescent="0.35">
      <c r="A131" t="s">
        <v>28</v>
      </c>
      <c r="B131" t="s">
        <v>245</v>
      </c>
      <c r="C131">
        <v>3536.45</v>
      </c>
      <c r="D131" t="s">
        <v>393</v>
      </c>
      <c r="E131">
        <v>5</v>
      </c>
      <c r="F131" t="s">
        <v>397</v>
      </c>
      <c r="G131" t="s">
        <v>402</v>
      </c>
      <c r="H131" t="s">
        <v>405</v>
      </c>
      <c r="I131" t="s">
        <v>410</v>
      </c>
      <c r="J131" t="s">
        <v>243</v>
      </c>
      <c r="K131" t="s">
        <v>583</v>
      </c>
    </row>
    <row r="132" spans="1:11" x14ac:dyDescent="0.35">
      <c r="A132" t="s">
        <v>64</v>
      </c>
      <c r="B132" t="s">
        <v>260</v>
      </c>
      <c r="C132">
        <v>4771.97</v>
      </c>
      <c r="D132" t="s">
        <v>392</v>
      </c>
      <c r="E132">
        <v>4</v>
      </c>
      <c r="F132" t="s">
        <v>399</v>
      </c>
      <c r="G132" t="s">
        <v>402</v>
      </c>
      <c r="H132" t="s">
        <v>408</v>
      </c>
      <c r="I132" t="s">
        <v>410</v>
      </c>
      <c r="J132" t="s">
        <v>243</v>
      </c>
      <c r="K132" t="s">
        <v>582</v>
      </c>
    </row>
    <row r="133" spans="1:11" x14ac:dyDescent="0.35">
      <c r="A133" t="s">
        <v>105</v>
      </c>
      <c r="B133" t="s">
        <v>340</v>
      </c>
      <c r="C133">
        <v>4365.95</v>
      </c>
      <c r="D133" t="s">
        <v>394</v>
      </c>
      <c r="E133">
        <v>2</v>
      </c>
      <c r="F133" t="s">
        <v>400</v>
      </c>
      <c r="G133" t="s">
        <v>403</v>
      </c>
      <c r="H133" t="s">
        <v>406</v>
      </c>
      <c r="I133" t="s">
        <v>410</v>
      </c>
      <c r="J133" t="s">
        <v>243</v>
      </c>
      <c r="K133" t="s">
        <v>582</v>
      </c>
    </row>
    <row r="134" spans="1:11" x14ac:dyDescent="0.35">
      <c r="A134" t="s">
        <v>90</v>
      </c>
      <c r="B134" t="s">
        <v>296</v>
      </c>
      <c r="C134">
        <v>4231.49</v>
      </c>
      <c r="D134" t="s">
        <v>394</v>
      </c>
      <c r="E134">
        <v>3</v>
      </c>
      <c r="F134" t="s">
        <v>400</v>
      </c>
      <c r="G134" t="s">
        <v>403</v>
      </c>
      <c r="H134" t="s">
        <v>404</v>
      </c>
      <c r="I134" t="s">
        <v>409</v>
      </c>
      <c r="J134" t="s">
        <v>243</v>
      </c>
      <c r="K134" t="s">
        <v>582</v>
      </c>
    </row>
    <row r="135" spans="1:11" x14ac:dyDescent="0.35">
      <c r="A135" t="s">
        <v>25</v>
      </c>
      <c r="B135" t="s">
        <v>338</v>
      </c>
      <c r="C135">
        <v>2781.58</v>
      </c>
      <c r="D135" t="s">
        <v>396</v>
      </c>
      <c r="E135">
        <v>2</v>
      </c>
      <c r="F135" t="s">
        <v>397</v>
      </c>
      <c r="G135" t="s">
        <v>402</v>
      </c>
      <c r="H135" t="s">
        <v>407</v>
      </c>
      <c r="I135" t="s">
        <v>410</v>
      </c>
      <c r="J135" t="s">
        <v>243</v>
      </c>
      <c r="K135" t="s">
        <v>582</v>
      </c>
    </row>
    <row r="136" spans="1:11" x14ac:dyDescent="0.35">
      <c r="A136" t="s">
        <v>111</v>
      </c>
      <c r="B136" t="s">
        <v>336</v>
      </c>
      <c r="C136">
        <v>144.66</v>
      </c>
      <c r="D136" t="s">
        <v>392</v>
      </c>
      <c r="E136">
        <v>3</v>
      </c>
      <c r="F136" t="s">
        <v>397</v>
      </c>
      <c r="G136" t="s">
        <v>403</v>
      </c>
      <c r="H136" t="s">
        <v>408</v>
      </c>
      <c r="I136" t="s">
        <v>410</v>
      </c>
      <c r="J136" t="s">
        <v>243</v>
      </c>
      <c r="K136" t="s">
        <v>582</v>
      </c>
    </row>
    <row r="137" spans="1:11" x14ac:dyDescent="0.35">
      <c r="A137" t="s">
        <v>163</v>
      </c>
      <c r="B137" t="s">
        <v>359</v>
      </c>
      <c r="C137">
        <v>4373.1099999999997</v>
      </c>
      <c r="D137" t="s">
        <v>394</v>
      </c>
      <c r="E137">
        <v>2</v>
      </c>
      <c r="F137" t="s">
        <v>400</v>
      </c>
      <c r="G137" t="s">
        <v>403</v>
      </c>
      <c r="H137" t="s">
        <v>408</v>
      </c>
      <c r="I137" t="s">
        <v>410</v>
      </c>
      <c r="J137" t="s">
        <v>243</v>
      </c>
      <c r="K137" t="s">
        <v>583</v>
      </c>
    </row>
    <row r="138" spans="1:11" x14ac:dyDescent="0.35">
      <c r="A138" t="s">
        <v>63</v>
      </c>
      <c r="B138" t="s">
        <v>356</v>
      </c>
      <c r="C138">
        <v>3637.08</v>
      </c>
      <c r="D138" t="s">
        <v>391</v>
      </c>
      <c r="E138">
        <v>1</v>
      </c>
      <c r="F138" t="s">
        <v>400</v>
      </c>
      <c r="G138" t="s">
        <v>402</v>
      </c>
      <c r="H138" t="s">
        <v>406</v>
      </c>
      <c r="I138" t="s">
        <v>410</v>
      </c>
      <c r="J138" t="s">
        <v>243</v>
      </c>
      <c r="K138" t="s">
        <v>582</v>
      </c>
    </row>
    <row r="139" spans="1:11" x14ac:dyDescent="0.35">
      <c r="A139" t="s">
        <v>95</v>
      </c>
      <c r="B139" t="s">
        <v>338</v>
      </c>
      <c r="C139">
        <v>4850.6899999999996</v>
      </c>
      <c r="D139" t="s">
        <v>395</v>
      </c>
      <c r="E139">
        <v>2</v>
      </c>
      <c r="F139" t="s">
        <v>400</v>
      </c>
      <c r="G139" t="s">
        <v>402</v>
      </c>
      <c r="H139" t="s">
        <v>408</v>
      </c>
      <c r="I139" t="s">
        <v>410</v>
      </c>
      <c r="J139" t="s">
        <v>215</v>
      </c>
      <c r="K139" t="s">
        <v>583</v>
      </c>
    </row>
    <row r="140" spans="1:11" x14ac:dyDescent="0.35">
      <c r="A140" t="s">
        <v>192</v>
      </c>
      <c r="B140" t="s">
        <v>320</v>
      </c>
      <c r="C140">
        <v>2499.25</v>
      </c>
      <c r="D140" t="s">
        <v>391</v>
      </c>
      <c r="E140">
        <v>2</v>
      </c>
      <c r="F140" t="s">
        <v>400</v>
      </c>
      <c r="G140" t="s">
        <v>402</v>
      </c>
      <c r="H140" t="s">
        <v>406</v>
      </c>
      <c r="I140" t="s">
        <v>410</v>
      </c>
      <c r="J140" t="s">
        <v>215</v>
      </c>
      <c r="K140" t="s">
        <v>582</v>
      </c>
    </row>
    <row r="141" spans="1:11" x14ac:dyDescent="0.35">
      <c r="A141" t="s">
        <v>209</v>
      </c>
      <c r="B141" t="s">
        <v>335</v>
      </c>
      <c r="C141">
        <v>4592.7</v>
      </c>
      <c r="D141" t="s">
        <v>395</v>
      </c>
      <c r="E141">
        <v>5</v>
      </c>
      <c r="F141" t="s">
        <v>400</v>
      </c>
      <c r="G141" t="s">
        <v>402</v>
      </c>
      <c r="H141" t="s">
        <v>405</v>
      </c>
      <c r="I141" t="s">
        <v>409</v>
      </c>
      <c r="J141" t="s">
        <v>388</v>
      </c>
      <c r="K141" t="s">
        <v>582</v>
      </c>
    </row>
    <row r="142" spans="1:11" x14ac:dyDescent="0.35">
      <c r="A142" t="s">
        <v>26</v>
      </c>
      <c r="B142" t="s">
        <v>350</v>
      </c>
      <c r="C142">
        <v>3566.55</v>
      </c>
      <c r="D142" t="s">
        <v>392</v>
      </c>
      <c r="E142">
        <v>2</v>
      </c>
      <c r="F142" t="s">
        <v>399</v>
      </c>
      <c r="G142" t="s">
        <v>403</v>
      </c>
      <c r="H142" t="s">
        <v>408</v>
      </c>
      <c r="I142" t="s">
        <v>409</v>
      </c>
      <c r="J142" t="s">
        <v>361</v>
      </c>
      <c r="K142" t="s">
        <v>583</v>
      </c>
    </row>
    <row r="143" spans="1:11" x14ac:dyDescent="0.35">
      <c r="A143" t="s">
        <v>180</v>
      </c>
      <c r="B143" t="s">
        <v>364</v>
      </c>
      <c r="C143">
        <v>3981.25</v>
      </c>
      <c r="D143" t="s">
        <v>395</v>
      </c>
      <c r="E143">
        <v>4</v>
      </c>
      <c r="F143" t="s">
        <v>399</v>
      </c>
      <c r="G143" t="s">
        <v>403</v>
      </c>
      <c r="H143" t="s">
        <v>405</v>
      </c>
      <c r="I143" t="s">
        <v>409</v>
      </c>
      <c r="J143" t="s">
        <v>361</v>
      </c>
      <c r="K143" t="s">
        <v>583</v>
      </c>
    </row>
    <row r="144" spans="1:11" x14ac:dyDescent="0.35">
      <c r="A144" t="s">
        <v>208</v>
      </c>
      <c r="B144" t="s">
        <v>271</v>
      </c>
      <c r="C144">
        <v>1608.14</v>
      </c>
      <c r="D144" t="s">
        <v>394</v>
      </c>
      <c r="E144">
        <v>1</v>
      </c>
      <c r="F144" t="s">
        <v>400</v>
      </c>
      <c r="G144" t="s">
        <v>403</v>
      </c>
      <c r="H144" t="s">
        <v>408</v>
      </c>
      <c r="I144" t="s">
        <v>409</v>
      </c>
      <c r="J144" t="s">
        <v>361</v>
      </c>
      <c r="K144" t="s">
        <v>582</v>
      </c>
    </row>
    <row r="145" spans="1:11" x14ac:dyDescent="0.35">
      <c r="A145" t="s">
        <v>136</v>
      </c>
      <c r="B145" t="s">
        <v>389</v>
      </c>
      <c r="C145">
        <v>2412.42</v>
      </c>
      <c r="D145" t="s">
        <v>395</v>
      </c>
      <c r="E145">
        <v>2</v>
      </c>
      <c r="F145" t="s">
        <v>399</v>
      </c>
      <c r="G145" t="s">
        <v>402</v>
      </c>
      <c r="H145" t="s">
        <v>405</v>
      </c>
      <c r="I145" t="s">
        <v>409</v>
      </c>
      <c r="J145" t="s">
        <v>361</v>
      </c>
      <c r="K145" t="s">
        <v>583</v>
      </c>
    </row>
    <row r="146" spans="1:11" x14ac:dyDescent="0.35">
      <c r="A146" t="s">
        <v>38</v>
      </c>
      <c r="B146" t="s">
        <v>234</v>
      </c>
      <c r="C146">
        <v>1255.94</v>
      </c>
      <c r="D146" t="s">
        <v>394</v>
      </c>
      <c r="E146">
        <v>3</v>
      </c>
      <c r="F146" t="s">
        <v>398</v>
      </c>
      <c r="G146" t="s">
        <v>403</v>
      </c>
      <c r="H146" t="s">
        <v>408</v>
      </c>
      <c r="I146" t="s">
        <v>409</v>
      </c>
      <c r="J146" t="s">
        <v>283</v>
      </c>
      <c r="K146" t="s">
        <v>582</v>
      </c>
    </row>
    <row r="147" spans="1:11" x14ac:dyDescent="0.35">
      <c r="A147" t="s">
        <v>92</v>
      </c>
      <c r="B147" t="s">
        <v>236</v>
      </c>
      <c r="C147">
        <v>3495.86</v>
      </c>
      <c r="D147" t="s">
        <v>395</v>
      </c>
      <c r="E147">
        <v>5</v>
      </c>
      <c r="F147" t="s">
        <v>399</v>
      </c>
      <c r="G147" t="s">
        <v>402</v>
      </c>
      <c r="H147" t="s">
        <v>404</v>
      </c>
      <c r="I147" t="s">
        <v>410</v>
      </c>
      <c r="J147" t="s">
        <v>283</v>
      </c>
      <c r="K147" t="s">
        <v>582</v>
      </c>
    </row>
    <row r="148" spans="1:11" x14ac:dyDescent="0.35">
      <c r="A148" t="s">
        <v>169</v>
      </c>
      <c r="B148" t="s">
        <v>343</v>
      </c>
      <c r="C148">
        <v>1468.28</v>
      </c>
      <c r="D148" t="s">
        <v>395</v>
      </c>
      <c r="E148">
        <v>2</v>
      </c>
      <c r="F148" t="s">
        <v>398</v>
      </c>
      <c r="G148" t="s">
        <v>403</v>
      </c>
      <c r="H148" t="s">
        <v>405</v>
      </c>
      <c r="I148" t="s">
        <v>409</v>
      </c>
      <c r="J148" t="s">
        <v>283</v>
      </c>
      <c r="K148" t="s">
        <v>582</v>
      </c>
    </row>
    <row r="149" spans="1:11" x14ac:dyDescent="0.35">
      <c r="A149" t="s">
        <v>94</v>
      </c>
      <c r="B149" t="s">
        <v>386</v>
      </c>
      <c r="C149">
        <v>3451.87</v>
      </c>
      <c r="D149" t="s">
        <v>393</v>
      </c>
      <c r="E149">
        <v>2</v>
      </c>
      <c r="F149" t="s">
        <v>399</v>
      </c>
      <c r="G149" t="s">
        <v>403</v>
      </c>
      <c r="H149" t="s">
        <v>406</v>
      </c>
      <c r="I149" t="s">
        <v>410</v>
      </c>
      <c r="J149" t="s">
        <v>283</v>
      </c>
      <c r="K149" t="s">
        <v>582</v>
      </c>
    </row>
    <row r="150" spans="1:11" x14ac:dyDescent="0.35">
      <c r="A150" t="s">
        <v>54</v>
      </c>
      <c r="B150" t="s">
        <v>385</v>
      </c>
      <c r="C150">
        <v>501.2</v>
      </c>
      <c r="D150" t="s">
        <v>392</v>
      </c>
      <c r="E150">
        <v>1</v>
      </c>
      <c r="F150" t="s">
        <v>397</v>
      </c>
      <c r="G150" t="s">
        <v>402</v>
      </c>
      <c r="H150" t="s">
        <v>407</v>
      </c>
      <c r="I150" t="s">
        <v>410</v>
      </c>
      <c r="J150" t="s">
        <v>283</v>
      </c>
      <c r="K150" t="s">
        <v>582</v>
      </c>
    </row>
    <row r="151" spans="1:11" x14ac:dyDescent="0.35">
      <c r="A151" t="s">
        <v>19</v>
      </c>
      <c r="B151" t="s">
        <v>357</v>
      </c>
      <c r="C151">
        <v>2344.5700000000002</v>
      </c>
      <c r="D151" t="s">
        <v>394</v>
      </c>
      <c r="E151">
        <v>3</v>
      </c>
      <c r="F151" t="s">
        <v>401</v>
      </c>
      <c r="G151" t="s">
        <v>403</v>
      </c>
      <c r="H151" t="s">
        <v>404</v>
      </c>
      <c r="I151" t="s">
        <v>409</v>
      </c>
      <c r="J151" t="s">
        <v>274</v>
      </c>
      <c r="K151" t="s">
        <v>582</v>
      </c>
    </row>
    <row r="152" spans="1:11" x14ac:dyDescent="0.35">
      <c r="A152" t="s">
        <v>82</v>
      </c>
      <c r="B152" t="s">
        <v>287</v>
      </c>
      <c r="C152">
        <v>386.59</v>
      </c>
      <c r="D152" t="s">
        <v>391</v>
      </c>
      <c r="E152">
        <v>3</v>
      </c>
      <c r="F152" t="s">
        <v>397</v>
      </c>
      <c r="G152" t="s">
        <v>402</v>
      </c>
      <c r="H152" t="s">
        <v>408</v>
      </c>
      <c r="I152" t="s">
        <v>409</v>
      </c>
      <c r="J152" t="s">
        <v>274</v>
      </c>
      <c r="K152" t="s">
        <v>583</v>
      </c>
    </row>
    <row r="153" spans="1:11" x14ac:dyDescent="0.35">
      <c r="A153" t="s">
        <v>21</v>
      </c>
      <c r="B153" t="s">
        <v>222</v>
      </c>
      <c r="C153">
        <v>265.11</v>
      </c>
      <c r="D153" t="s">
        <v>394</v>
      </c>
      <c r="E153">
        <v>5</v>
      </c>
      <c r="F153" t="s">
        <v>401</v>
      </c>
      <c r="G153" t="s">
        <v>402</v>
      </c>
      <c r="H153" t="s">
        <v>405</v>
      </c>
      <c r="I153" t="s">
        <v>410</v>
      </c>
      <c r="J153" t="s">
        <v>232</v>
      </c>
      <c r="K153" t="s">
        <v>582</v>
      </c>
    </row>
    <row r="154" spans="1:11" x14ac:dyDescent="0.35">
      <c r="A154" t="s">
        <v>64</v>
      </c>
      <c r="B154" t="s">
        <v>359</v>
      </c>
      <c r="C154">
        <v>2340.52</v>
      </c>
      <c r="D154" t="s">
        <v>394</v>
      </c>
      <c r="E154">
        <v>2</v>
      </c>
      <c r="F154" t="s">
        <v>401</v>
      </c>
      <c r="G154" t="s">
        <v>402</v>
      </c>
      <c r="H154" t="s">
        <v>404</v>
      </c>
      <c r="I154" t="s">
        <v>410</v>
      </c>
      <c r="J154" t="s">
        <v>232</v>
      </c>
      <c r="K154" t="s">
        <v>583</v>
      </c>
    </row>
    <row r="155" spans="1:11" x14ac:dyDescent="0.35">
      <c r="A155" t="s">
        <v>51</v>
      </c>
      <c r="B155" t="s">
        <v>268</v>
      </c>
      <c r="C155">
        <v>994.8</v>
      </c>
      <c r="D155" t="s">
        <v>392</v>
      </c>
      <c r="E155">
        <v>4</v>
      </c>
      <c r="F155" t="s">
        <v>401</v>
      </c>
      <c r="G155" t="s">
        <v>402</v>
      </c>
      <c r="H155" t="s">
        <v>407</v>
      </c>
      <c r="I155" t="s">
        <v>410</v>
      </c>
      <c r="J155" t="s">
        <v>232</v>
      </c>
      <c r="K155" t="s">
        <v>583</v>
      </c>
    </row>
    <row r="156" spans="1:11" x14ac:dyDescent="0.35">
      <c r="A156" t="s">
        <v>148</v>
      </c>
      <c r="B156" t="s">
        <v>326</v>
      </c>
      <c r="C156">
        <v>4209.93</v>
      </c>
      <c r="D156" t="s">
        <v>394</v>
      </c>
      <c r="E156">
        <v>2</v>
      </c>
      <c r="F156" t="s">
        <v>401</v>
      </c>
      <c r="G156" t="s">
        <v>403</v>
      </c>
      <c r="H156" t="s">
        <v>405</v>
      </c>
      <c r="I156" t="s">
        <v>409</v>
      </c>
      <c r="J156" t="s">
        <v>232</v>
      </c>
      <c r="K156" t="s">
        <v>583</v>
      </c>
    </row>
    <row r="157" spans="1:11" x14ac:dyDescent="0.35">
      <c r="A157" t="s">
        <v>87</v>
      </c>
      <c r="B157" t="s">
        <v>332</v>
      </c>
      <c r="C157">
        <v>4460.17</v>
      </c>
      <c r="D157" t="s">
        <v>392</v>
      </c>
      <c r="E157">
        <v>3</v>
      </c>
      <c r="F157" t="s">
        <v>399</v>
      </c>
      <c r="G157" t="s">
        <v>402</v>
      </c>
      <c r="H157" t="s">
        <v>407</v>
      </c>
      <c r="I157" t="s">
        <v>409</v>
      </c>
      <c r="J157" t="s">
        <v>232</v>
      </c>
      <c r="K157" t="s">
        <v>583</v>
      </c>
    </row>
    <row r="158" spans="1:11" x14ac:dyDescent="0.35">
      <c r="A158" t="s">
        <v>114</v>
      </c>
      <c r="B158" t="s">
        <v>267</v>
      </c>
      <c r="C158">
        <v>3360.09</v>
      </c>
      <c r="D158" t="s">
        <v>392</v>
      </c>
      <c r="E158">
        <v>5</v>
      </c>
      <c r="F158" t="s">
        <v>399</v>
      </c>
      <c r="G158" t="s">
        <v>402</v>
      </c>
      <c r="H158" t="s">
        <v>404</v>
      </c>
      <c r="I158" t="s">
        <v>409</v>
      </c>
      <c r="J158" t="s">
        <v>224</v>
      </c>
      <c r="K158" t="s">
        <v>583</v>
      </c>
    </row>
    <row r="159" spans="1:11" x14ac:dyDescent="0.35">
      <c r="A159" t="s">
        <v>111</v>
      </c>
      <c r="B159" t="s">
        <v>281</v>
      </c>
      <c r="C159">
        <v>3341.19</v>
      </c>
      <c r="D159" t="s">
        <v>394</v>
      </c>
      <c r="E159">
        <v>5</v>
      </c>
      <c r="F159" t="s">
        <v>398</v>
      </c>
      <c r="G159" t="s">
        <v>403</v>
      </c>
      <c r="H159" t="s">
        <v>408</v>
      </c>
      <c r="I159" t="s">
        <v>410</v>
      </c>
      <c r="J159" t="s">
        <v>224</v>
      </c>
      <c r="K159" t="s">
        <v>583</v>
      </c>
    </row>
    <row r="160" spans="1:11" x14ac:dyDescent="0.35">
      <c r="A160" t="s">
        <v>195</v>
      </c>
      <c r="B160" t="s">
        <v>289</v>
      </c>
      <c r="C160">
        <v>992.13</v>
      </c>
      <c r="D160" t="s">
        <v>392</v>
      </c>
      <c r="E160">
        <v>1</v>
      </c>
      <c r="F160" t="s">
        <v>397</v>
      </c>
      <c r="G160" t="s">
        <v>402</v>
      </c>
      <c r="H160" t="s">
        <v>407</v>
      </c>
      <c r="I160" t="s">
        <v>410</v>
      </c>
      <c r="J160" t="s">
        <v>224</v>
      </c>
      <c r="K160" t="s">
        <v>583</v>
      </c>
    </row>
    <row r="161" spans="1:11" x14ac:dyDescent="0.35">
      <c r="A161" t="s">
        <v>163</v>
      </c>
      <c r="B161" t="s">
        <v>245</v>
      </c>
      <c r="C161">
        <v>1065.9000000000001</v>
      </c>
      <c r="D161" t="s">
        <v>396</v>
      </c>
      <c r="E161">
        <v>3</v>
      </c>
      <c r="F161" t="s">
        <v>400</v>
      </c>
      <c r="G161" t="s">
        <v>403</v>
      </c>
      <c r="H161" t="s">
        <v>405</v>
      </c>
      <c r="I161" t="s">
        <v>410</v>
      </c>
      <c r="J161" t="s">
        <v>317</v>
      </c>
      <c r="K161" t="s">
        <v>583</v>
      </c>
    </row>
    <row r="162" spans="1:11" x14ac:dyDescent="0.35">
      <c r="A162" t="s">
        <v>129</v>
      </c>
      <c r="B162" t="s">
        <v>336</v>
      </c>
      <c r="C162">
        <v>222.08</v>
      </c>
      <c r="D162" t="s">
        <v>392</v>
      </c>
      <c r="E162">
        <v>3</v>
      </c>
      <c r="F162" t="s">
        <v>401</v>
      </c>
      <c r="G162" t="s">
        <v>403</v>
      </c>
      <c r="H162" t="s">
        <v>408</v>
      </c>
      <c r="I162" t="s">
        <v>410</v>
      </c>
      <c r="J162" t="s">
        <v>317</v>
      </c>
      <c r="K162" t="s">
        <v>583</v>
      </c>
    </row>
    <row r="163" spans="1:11" x14ac:dyDescent="0.35">
      <c r="A163" t="s">
        <v>149</v>
      </c>
      <c r="B163" t="s">
        <v>336</v>
      </c>
      <c r="C163">
        <v>4249.68</v>
      </c>
      <c r="D163" t="s">
        <v>394</v>
      </c>
      <c r="E163">
        <v>4</v>
      </c>
      <c r="F163" t="s">
        <v>398</v>
      </c>
      <c r="G163" t="s">
        <v>402</v>
      </c>
      <c r="H163" t="s">
        <v>404</v>
      </c>
      <c r="I163" t="s">
        <v>410</v>
      </c>
      <c r="J163" t="s">
        <v>317</v>
      </c>
      <c r="K163" t="s">
        <v>582</v>
      </c>
    </row>
    <row r="164" spans="1:11" x14ac:dyDescent="0.35">
      <c r="A164" t="s">
        <v>86</v>
      </c>
      <c r="B164" t="s">
        <v>257</v>
      </c>
      <c r="C164">
        <v>327.64999999999998</v>
      </c>
      <c r="D164" t="s">
        <v>391</v>
      </c>
      <c r="E164">
        <v>3</v>
      </c>
      <c r="F164" t="s">
        <v>398</v>
      </c>
      <c r="G164" t="s">
        <v>403</v>
      </c>
      <c r="H164" t="s">
        <v>404</v>
      </c>
      <c r="I164" t="s">
        <v>409</v>
      </c>
      <c r="J164" t="s">
        <v>365</v>
      </c>
      <c r="K164" t="s">
        <v>583</v>
      </c>
    </row>
    <row r="165" spans="1:11" x14ac:dyDescent="0.35">
      <c r="A165" t="s">
        <v>163</v>
      </c>
      <c r="B165" t="s">
        <v>286</v>
      </c>
      <c r="C165">
        <v>4520.99</v>
      </c>
      <c r="D165" t="s">
        <v>394</v>
      </c>
      <c r="E165">
        <v>4</v>
      </c>
      <c r="F165" t="s">
        <v>397</v>
      </c>
      <c r="G165" t="s">
        <v>403</v>
      </c>
      <c r="H165" t="s">
        <v>406</v>
      </c>
      <c r="I165" t="s">
        <v>410</v>
      </c>
      <c r="J165" t="s">
        <v>365</v>
      </c>
      <c r="K165" t="s">
        <v>583</v>
      </c>
    </row>
    <row r="166" spans="1:11" x14ac:dyDescent="0.35">
      <c r="A166" t="s">
        <v>114</v>
      </c>
      <c r="B166" t="s">
        <v>244</v>
      </c>
      <c r="C166">
        <v>4277.6499999999996</v>
      </c>
      <c r="D166" t="s">
        <v>395</v>
      </c>
      <c r="E166">
        <v>3</v>
      </c>
      <c r="F166" t="s">
        <v>398</v>
      </c>
      <c r="G166" t="s">
        <v>402</v>
      </c>
      <c r="H166" t="s">
        <v>404</v>
      </c>
      <c r="I166" t="s">
        <v>409</v>
      </c>
      <c r="J166" t="s">
        <v>365</v>
      </c>
      <c r="K166" t="s">
        <v>583</v>
      </c>
    </row>
    <row r="167" spans="1:11" x14ac:dyDescent="0.35">
      <c r="A167" t="s">
        <v>62</v>
      </c>
      <c r="B167" t="s">
        <v>279</v>
      </c>
      <c r="C167">
        <v>591.70000000000005</v>
      </c>
      <c r="D167" t="s">
        <v>396</v>
      </c>
      <c r="E167">
        <v>2</v>
      </c>
      <c r="F167" t="s">
        <v>401</v>
      </c>
      <c r="G167" t="s">
        <v>403</v>
      </c>
      <c r="H167" t="s">
        <v>404</v>
      </c>
      <c r="I167" t="s">
        <v>409</v>
      </c>
      <c r="J167" t="s">
        <v>365</v>
      </c>
      <c r="K167" t="s">
        <v>582</v>
      </c>
    </row>
    <row r="168" spans="1:11" x14ac:dyDescent="0.35">
      <c r="A168" t="s">
        <v>106</v>
      </c>
      <c r="B168" t="s">
        <v>387</v>
      </c>
      <c r="C168">
        <v>2926.55</v>
      </c>
      <c r="D168" t="s">
        <v>393</v>
      </c>
      <c r="E168">
        <v>1</v>
      </c>
      <c r="F168" t="s">
        <v>401</v>
      </c>
      <c r="G168" t="s">
        <v>402</v>
      </c>
      <c r="H168" t="s">
        <v>407</v>
      </c>
      <c r="I168" t="s">
        <v>409</v>
      </c>
      <c r="J168" t="s">
        <v>291</v>
      </c>
      <c r="K168" t="s">
        <v>583</v>
      </c>
    </row>
    <row r="169" spans="1:11" x14ac:dyDescent="0.35">
      <c r="A169" t="s">
        <v>28</v>
      </c>
      <c r="B169" t="s">
        <v>227</v>
      </c>
      <c r="C169">
        <v>3530</v>
      </c>
      <c r="D169" t="s">
        <v>395</v>
      </c>
      <c r="E169">
        <v>4</v>
      </c>
      <c r="F169" t="s">
        <v>398</v>
      </c>
      <c r="G169" t="s">
        <v>402</v>
      </c>
      <c r="H169" t="s">
        <v>407</v>
      </c>
      <c r="I169" t="s">
        <v>409</v>
      </c>
      <c r="J169" t="s">
        <v>231</v>
      </c>
      <c r="K169" t="s">
        <v>583</v>
      </c>
    </row>
    <row r="170" spans="1:11" x14ac:dyDescent="0.35">
      <c r="A170" t="s">
        <v>42</v>
      </c>
      <c r="B170" t="s">
        <v>215</v>
      </c>
      <c r="C170">
        <v>4912.8100000000004</v>
      </c>
      <c r="D170" t="s">
        <v>393</v>
      </c>
      <c r="E170">
        <v>3</v>
      </c>
      <c r="F170" t="s">
        <v>400</v>
      </c>
      <c r="G170" t="s">
        <v>402</v>
      </c>
      <c r="H170" t="s">
        <v>405</v>
      </c>
      <c r="I170" t="s">
        <v>410</v>
      </c>
      <c r="J170" t="s">
        <v>297</v>
      </c>
      <c r="K170" t="s">
        <v>582</v>
      </c>
    </row>
    <row r="171" spans="1:11" x14ac:dyDescent="0.35">
      <c r="A171" t="s">
        <v>64</v>
      </c>
      <c r="B171" t="s">
        <v>295</v>
      </c>
      <c r="C171">
        <v>2143.5100000000002</v>
      </c>
      <c r="D171" t="s">
        <v>393</v>
      </c>
      <c r="E171">
        <v>5</v>
      </c>
      <c r="F171" t="s">
        <v>401</v>
      </c>
      <c r="G171" t="s">
        <v>402</v>
      </c>
      <c r="H171" t="s">
        <v>404</v>
      </c>
      <c r="I171" t="s">
        <v>409</v>
      </c>
      <c r="J171" t="s">
        <v>297</v>
      </c>
      <c r="K171" t="s">
        <v>583</v>
      </c>
    </row>
    <row r="172" spans="1:11" x14ac:dyDescent="0.35">
      <c r="A172" t="s">
        <v>76</v>
      </c>
      <c r="B172" t="s">
        <v>372</v>
      </c>
      <c r="C172">
        <v>1691.74</v>
      </c>
      <c r="D172" t="s">
        <v>395</v>
      </c>
      <c r="E172">
        <v>1</v>
      </c>
      <c r="F172" t="s">
        <v>400</v>
      </c>
      <c r="G172" t="s">
        <v>402</v>
      </c>
      <c r="H172" t="s">
        <v>408</v>
      </c>
      <c r="I172" t="s">
        <v>410</v>
      </c>
      <c r="J172" t="s">
        <v>297</v>
      </c>
      <c r="K172" t="s">
        <v>583</v>
      </c>
    </row>
    <row r="173" spans="1:11" x14ac:dyDescent="0.35">
      <c r="A173" t="s">
        <v>100</v>
      </c>
      <c r="B173" t="s">
        <v>385</v>
      </c>
      <c r="C173">
        <v>4746.8999999999996</v>
      </c>
      <c r="D173" t="s">
        <v>394</v>
      </c>
      <c r="E173">
        <v>1</v>
      </c>
      <c r="F173" t="s">
        <v>398</v>
      </c>
      <c r="G173" t="s">
        <v>402</v>
      </c>
      <c r="H173" t="s">
        <v>405</v>
      </c>
      <c r="I173" t="s">
        <v>410</v>
      </c>
      <c r="J173" t="s">
        <v>297</v>
      </c>
      <c r="K173" t="s">
        <v>582</v>
      </c>
    </row>
    <row r="174" spans="1:11" x14ac:dyDescent="0.35">
      <c r="A174" t="s">
        <v>91</v>
      </c>
      <c r="B174" t="s">
        <v>329</v>
      </c>
      <c r="C174">
        <v>3533.66</v>
      </c>
      <c r="D174" t="s">
        <v>396</v>
      </c>
      <c r="E174">
        <v>5</v>
      </c>
      <c r="F174" t="s">
        <v>399</v>
      </c>
      <c r="G174" t="s">
        <v>403</v>
      </c>
      <c r="H174" t="s">
        <v>404</v>
      </c>
      <c r="I174" t="s">
        <v>409</v>
      </c>
      <c r="J174" t="s">
        <v>368</v>
      </c>
      <c r="K174" t="s">
        <v>582</v>
      </c>
    </row>
    <row r="175" spans="1:11" x14ac:dyDescent="0.35">
      <c r="A175" t="s">
        <v>74</v>
      </c>
      <c r="B175" t="s">
        <v>249</v>
      </c>
      <c r="C175">
        <v>2852.82</v>
      </c>
      <c r="D175" t="s">
        <v>392</v>
      </c>
      <c r="E175">
        <v>2</v>
      </c>
      <c r="F175" t="s">
        <v>399</v>
      </c>
      <c r="G175" t="s">
        <v>402</v>
      </c>
      <c r="H175" t="s">
        <v>404</v>
      </c>
      <c r="I175" t="s">
        <v>410</v>
      </c>
      <c r="J175" t="s">
        <v>368</v>
      </c>
      <c r="K175" t="s">
        <v>582</v>
      </c>
    </row>
    <row r="176" spans="1:11" x14ac:dyDescent="0.35">
      <c r="A176" t="s">
        <v>184</v>
      </c>
      <c r="B176" t="s">
        <v>314</v>
      </c>
      <c r="C176">
        <v>3571.28</v>
      </c>
      <c r="D176" t="s">
        <v>391</v>
      </c>
      <c r="E176">
        <v>5</v>
      </c>
      <c r="F176" t="s">
        <v>397</v>
      </c>
      <c r="G176" t="s">
        <v>403</v>
      </c>
      <c r="H176" t="s">
        <v>407</v>
      </c>
      <c r="I176" t="s">
        <v>410</v>
      </c>
      <c r="J176" t="s">
        <v>368</v>
      </c>
      <c r="K176" t="s">
        <v>583</v>
      </c>
    </row>
    <row r="177" spans="1:11" x14ac:dyDescent="0.35">
      <c r="A177" t="s">
        <v>178</v>
      </c>
      <c r="B177" t="s">
        <v>342</v>
      </c>
      <c r="C177">
        <v>2028.64</v>
      </c>
      <c r="D177" t="s">
        <v>396</v>
      </c>
      <c r="E177">
        <v>5</v>
      </c>
      <c r="F177" t="s">
        <v>400</v>
      </c>
      <c r="G177" t="s">
        <v>402</v>
      </c>
      <c r="H177" t="s">
        <v>404</v>
      </c>
      <c r="I177" t="s">
        <v>410</v>
      </c>
      <c r="J177" t="s">
        <v>368</v>
      </c>
      <c r="K177" t="s">
        <v>583</v>
      </c>
    </row>
    <row r="178" spans="1:11" x14ac:dyDescent="0.35">
      <c r="A178" t="s">
        <v>40</v>
      </c>
      <c r="B178" t="s">
        <v>237</v>
      </c>
      <c r="C178">
        <v>3421.79</v>
      </c>
      <c r="D178" t="s">
        <v>395</v>
      </c>
      <c r="E178">
        <v>1</v>
      </c>
      <c r="F178" t="s">
        <v>401</v>
      </c>
      <c r="G178" t="s">
        <v>402</v>
      </c>
      <c r="H178" t="s">
        <v>405</v>
      </c>
      <c r="I178" t="s">
        <v>410</v>
      </c>
      <c r="J178" t="s">
        <v>379</v>
      </c>
      <c r="K178" t="s">
        <v>582</v>
      </c>
    </row>
    <row r="179" spans="1:11" x14ac:dyDescent="0.35">
      <c r="A179" t="s">
        <v>60</v>
      </c>
      <c r="B179" t="s">
        <v>242</v>
      </c>
      <c r="C179">
        <v>103.01</v>
      </c>
      <c r="D179" t="s">
        <v>395</v>
      </c>
      <c r="E179">
        <v>2</v>
      </c>
      <c r="F179" t="s">
        <v>398</v>
      </c>
      <c r="G179" t="s">
        <v>403</v>
      </c>
      <c r="H179" t="s">
        <v>406</v>
      </c>
      <c r="I179" t="s">
        <v>410</v>
      </c>
      <c r="J179" t="s">
        <v>379</v>
      </c>
      <c r="K179" t="s">
        <v>582</v>
      </c>
    </row>
    <row r="180" spans="1:11" x14ac:dyDescent="0.35">
      <c r="A180" t="s">
        <v>203</v>
      </c>
      <c r="B180" t="s">
        <v>273</v>
      </c>
      <c r="C180">
        <v>1197.92</v>
      </c>
      <c r="D180" t="s">
        <v>391</v>
      </c>
      <c r="E180">
        <v>1</v>
      </c>
      <c r="F180" t="s">
        <v>400</v>
      </c>
      <c r="G180" t="s">
        <v>402</v>
      </c>
      <c r="H180" t="s">
        <v>406</v>
      </c>
      <c r="I180" t="s">
        <v>410</v>
      </c>
      <c r="J180" t="s">
        <v>379</v>
      </c>
      <c r="K180" t="s">
        <v>582</v>
      </c>
    </row>
    <row r="181" spans="1:11" x14ac:dyDescent="0.35">
      <c r="A181" t="s">
        <v>73</v>
      </c>
      <c r="B181" t="s">
        <v>268</v>
      </c>
      <c r="C181">
        <v>146.54</v>
      </c>
      <c r="D181" t="s">
        <v>392</v>
      </c>
      <c r="E181">
        <v>3</v>
      </c>
      <c r="F181" t="s">
        <v>398</v>
      </c>
      <c r="G181" t="s">
        <v>402</v>
      </c>
      <c r="H181" t="s">
        <v>407</v>
      </c>
      <c r="I181" t="s">
        <v>409</v>
      </c>
      <c r="J181" t="s">
        <v>214</v>
      </c>
      <c r="K181" t="s">
        <v>583</v>
      </c>
    </row>
    <row r="182" spans="1:11" x14ac:dyDescent="0.35">
      <c r="A182" t="s">
        <v>81</v>
      </c>
      <c r="B182" t="s">
        <v>281</v>
      </c>
      <c r="C182">
        <v>4754.71</v>
      </c>
      <c r="D182" t="s">
        <v>395</v>
      </c>
      <c r="E182">
        <v>5</v>
      </c>
      <c r="F182" t="s">
        <v>399</v>
      </c>
      <c r="G182" t="s">
        <v>403</v>
      </c>
      <c r="H182" t="s">
        <v>404</v>
      </c>
      <c r="I182" t="s">
        <v>410</v>
      </c>
      <c r="J182" t="s">
        <v>214</v>
      </c>
      <c r="K182" t="s">
        <v>582</v>
      </c>
    </row>
    <row r="183" spans="1:11" x14ac:dyDescent="0.35">
      <c r="A183" t="s">
        <v>168</v>
      </c>
      <c r="B183" t="s">
        <v>320</v>
      </c>
      <c r="C183">
        <v>4521.96</v>
      </c>
      <c r="D183" t="s">
        <v>391</v>
      </c>
      <c r="E183">
        <v>5</v>
      </c>
      <c r="F183" t="s">
        <v>398</v>
      </c>
      <c r="G183" t="s">
        <v>403</v>
      </c>
      <c r="H183" t="s">
        <v>406</v>
      </c>
      <c r="I183" t="s">
        <v>409</v>
      </c>
      <c r="J183" t="s">
        <v>214</v>
      </c>
      <c r="K183" t="s">
        <v>583</v>
      </c>
    </row>
    <row r="184" spans="1:11" x14ac:dyDescent="0.35">
      <c r="A184" t="s">
        <v>27</v>
      </c>
      <c r="B184" t="s">
        <v>225</v>
      </c>
      <c r="C184">
        <v>4992.34</v>
      </c>
      <c r="D184" t="s">
        <v>393</v>
      </c>
      <c r="E184">
        <v>3</v>
      </c>
      <c r="F184" t="s">
        <v>399</v>
      </c>
      <c r="G184" t="s">
        <v>402</v>
      </c>
      <c r="H184" t="s">
        <v>404</v>
      </c>
      <c r="I184" t="s">
        <v>410</v>
      </c>
      <c r="J184" t="s">
        <v>266</v>
      </c>
      <c r="K184" t="s">
        <v>582</v>
      </c>
    </row>
    <row r="185" spans="1:11" x14ac:dyDescent="0.35">
      <c r="A185" t="s">
        <v>83</v>
      </c>
      <c r="B185" t="s">
        <v>236</v>
      </c>
      <c r="C185">
        <v>3384.14</v>
      </c>
      <c r="D185" t="s">
        <v>395</v>
      </c>
      <c r="E185">
        <v>3</v>
      </c>
      <c r="F185" t="s">
        <v>399</v>
      </c>
      <c r="G185" t="s">
        <v>402</v>
      </c>
      <c r="H185" t="s">
        <v>404</v>
      </c>
      <c r="I185" t="s">
        <v>410</v>
      </c>
      <c r="J185" t="s">
        <v>266</v>
      </c>
      <c r="K185" t="s">
        <v>582</v>
      </c>
    </row>
    <row r="186" spans="1:11" x14ac:dyDescent="0.35">
      <c r="A186" t="s">
        <v>92</v>
      </c>
      <c r="B186" t="s">
        <v>299</v>
      </c>
      <c r="C186">
        <v>241.13</v>
      </c>
      <c r="D186" t="s">
        <v>393</v>
      </c>
      <c r="E186">
        <v>1</v>
      </c>
      <c r="F186" t="s">
        <v>400</v>
      </c>
      <c r="G186" t="s">
        <v>403</v>
      </c>
      <c r="H186" t="s">
        <v>405</v>
      </c>
      <c r="I186" t="s">
        <v>409</v>
      </c>
      <c r="J186" t="s">
        <v>266</v>
      </c>
      <c r="K186" t="s">
        <v>583</v>
      </c>
    </row>
    <row r="187" spans="1:11" x14ac:dyDescent="0.35">
      <c r="A187" t="s">
        <v>76</v>
      </c>
      <c r="B187" t="s">
        <v>339</v>
      </c>
      <c r="C187">
        <v>3652.11</v>
      </c>
      <c r="D187" t="s">
        <v>396</v>
      </c>
      <c r="E187">
        <v>1</v>
      </c>
      <c r="F187" t="s">
        <v>399</v>
      </c>
      <c r="G187" t="s">
        <v>402</v>
      </c>
      <c r="H187" t="s">
        <v>408</v>
      </c>
      <c r="I187" t="s">
        <v>409</v>
      </c>
      <c r="J187" t="s">
        <v>266</v>
      </c>
      <c r="K187" t="s">
        <v>583</v>
      </c>
    </row>
    <row r="188" spans="1:11" x14ac:dyDescent="0.35">
      <c r="A188" t="s">
        <v>33</v>
      </c>
      <c r="B188" t="s">
        <v>320</v>
      </c>
      <c r="C188">
        <v>2603.37</v>
      </c>
      <c r="D188" t="s">
        <v>393</v>
      </c>
      <c r="E188">
        <v>5</v>
      </c>
      <c r="F188" t="s">
        <v>401</v>
      </c>
      <c r="G188" t="s">
        <v>402</v>
      </c>
      <c r="H188" t="s">
        <v>404</v>
      </c>
      <c r="I188" t="s">
        <v>409</v>
      </c>
      <c r="J188" t="s">
        <v>266</v>
      </c>
      <c r="K188" t="s">
        <v>582</v>
      </c>
    </row>
    <row r="189" spans="1:11" x14ac:dyDescent="0.35">
      <c r="A189" t="s">
        <v>54</v>
      </c>
      <c r="B189" t="s">
        <v>224</v>
      </c>
      <c r="C189">
        <v>2310.2800000000002</v>
      </c>
      <c r="D189" t="s">
        <v>396</v>
      </c>
      <c r="E189">
        <v>4</v>
      </c>
      <c r="F189" t="s">
        <v>397</v>
      </c>
      <c r="G189" t="s">
        <v>402</v>
      </c>
      <c r="H189" t="s">
        <v>407</v>
      </c>
      <c r="I189" t="s">
        <v>409</v>
      </c>
      <c r="J189" t="s">
        <v>316</v>
      </c>
      <c r="K189" t="s">
        <v>582</v>
      </c>
    </row>
    <row r="190" spans="1:11" x14ac:dyDescent="0.35">
      <c r="A190" t="s">
        <v>168</v>
      </c>
      <c r="B190" t="s">
        <v>362</v>
      </c>
      <c r="C190">
        <v>2681.16</v>
      </c>
      <c r="D190" t="s">
        <v>393</v>
      </c>
      <c r="E190">
        <v>4</v>
      </c>
      <c r="F190" t="s">
        <v>399</v>
      </c>
      <c r="G190" t="s">
        <v>403</v>
      </c>
      <c r="H190" t="s">
        <v>404</v>
      </c>
      <c r="I190" t="s">
        <v>409</v>
      </c>
      <c r="J190" t="s">
        <v>316</v>
      </c>
      <c r="K190" t="s">
        <v>582</v>
      </c>
    </row>
    <row r="191" spans="1:11" x14ac:dyDescent="0.35">
      <c r="A191" t="s">
        <v>130</v>
      </c>
      <c r="B191" t="s">
        <v>383</v>
      </c>
      <c r="C191">
        <v>2253.85</v>
      </c>
      <c r="D191" t="s">
        <v>391</v>
      </c>
      <c r="E191">
        <v>5</v>
      </c>
      <c r="F191" t="s">
        <v>398</v>
      </c>
      <c r="G191" t="s">
        <v>403</v>
      </c>
      <c r="H191" t="s">
        <v>404</v>
      </c>
      <c r="I191" t="s">
        <v>409</v>
      </c>
      <c r="J191" t="s">
        <v>316</v>
      </c>
      <c r="K191" t="s">
        <v>582</v>
      </c>
    </row>
    <row r="192" spans="1:11" x14ac:dyDescent="0.35">
      <c r="A192" t="s">
        <v>206</v>
      </c>
      <c r="B192" t="s">
        <v>211</v>
      </c>
      <c r="C192">
        <v>339.26</v>
      </c>
      <c r="D192" t="s">
        <v>392</v>
      </c>
      <c r="E192">
        <v>3</v>
      </c>
      <c r="F192" t="s">
        <v>401</v>
      </c>
      <c r="G192" t="s">
        <v>403</v>
      </c>
      <c r="H192" t="s">
        <v>406</v>
      </c>
      <c r="I192" t="s">
        <v>410</v>
      </c>
      <c r="J192" t="s">
        <v>316</v>
      </c>
      <c r="K192" t="s">
        <v>583</v>
      </c>
    </row>
    <row r="193" spans="1:11" x14ac:dyDescent="0.35">
      <c r="A193" t="s">
        <v>12</v>
      </c>
      <c r="B193" t="s">
        <v>309</v>
      </c>
      <c r="C193">
        <v>733.09</v>
      </c>
      <c r="D193" t="s">
        <v>395</v>
      </c>
      <c r="E193">
        <v>5</v>
      </c>
      <c r="F193" t="s">
        <v>399</v>
      </c>
      <c r="G193" t="s">
        <v>402</v>
      </c>
      <c r="H193" t="s">
        <v>405</v>
      </c>
      <c r="I193" t="s">
        <v>410</v>
      </c>
      <c r="J193" t="s">
        <v>316</v>
      </c>
      <c r="K193" t="s">
        <v>582</v>
      </c>
    </row>
    <row r="194" spans="1:11" x14ac:dyDescent="0.35">
      <c r="A194" t="s">
        <v>196</v>
      </c>
      <c r="B194" t="s">
        <v>222</v>
      </c>
      <c r="C194">
        <v>895.6</v>
      </c>
      <c r="D194" t="s">
        <v>391</v>
      </c>
      <c r="E194">
        <v>3</v>
      </c>
      <c r="F194" t="s">
        <v>398</v>
      </c>
      <c r="G194" t="s">
        <v>402</v>
      </c>
      <c r="H194" t="s">
        <v>404</v>
      </c>
      <c r="I194" t="s">
        <v>409</v>
      </c>
      <c r="J194" t="s">
        <v>316</v>
      </c>
      <c r="K194" t="s">
        <v>582</v>
      </c>
    </row>
    <row r="195" spans="1:11" x14ac:dyDescent="0.35">
      <c r="A195" t="s">
        <v>185</v>
      </c>
      <c r="B195" t="s">
        <v>220</v>
      </c>
      <c r="C195">
        <v>209.2</v>
      </c>
      <c r="D195" t="s">
        <v>395</v>
      </c>
      <c r="E195">
        <v>2</v>
      </c>
      <c r="F195" t="s">
        <v>399</v>
      </c>
      <c r="G195" t="s">
        <v>403</v>
      </c>
      <c r="H195" t="s">
        <v>405</v>
      </c>
      <c r="I195" t="s">
        <v>410</v>
      </c>
      <c r="J195" t="s">
        <v>316</v>
      </c>
      <c r="K195" t="s">
        <v>583</v>
      </c>
    </row>
    <row r="196" spans="1:11" x14ac:dyDescent="0.35">
      <c r="A196" t="s">
        <v>12</v>
      </c>
      <c r="B196" t="s">
        <v>271</v>
      </c>
      <c r="C196">
        <v>2466.2199999999998</v>
      </c>
      <c r="D196" t="s">
        <v>395</v>
      </c>
      <c r="E196">
        <v>2</v>
      </c>
      <c r="F196" t="s">
        <v>401</v>
      </c>
      <c r="G196" t="s">
        <v>403</v>
      </c>
      <c r="H196" t="s">
        <v>408</v>
      </c>
      <c r="I196" t="s">
        <v>410</v>
      </c>
      <c r="J196" t="s">
        <v>316</v>
      </c>
      <c r="K196" t="s">
        <v>583</v>
      </c>
    </row>
    <row r="197" spans="1:11" x14ac:dyDescent="0.35">
      <c r="A197" t="s">
        <v>179</v>
      </c>
      <c r="B197" t="s">
        <v>319</v>
      </c>
      <c r="C197">
        <v>3718.53</v>
      </c>
      <c r="D197" t="s">
        <v>396</v>
      </c>
      <c r="E197">
        <v>3</v>
      </c>
      <c r="F197" t="s">
        <v>400</v>
      </c>
      <c r="G197" t="s">
        <v>402</v>
      </c>
      <c r="H197" t="s">
        <v>408</v>
      </c>
      <c r="I197" t="s">
        <v>410</v>
      </c>
      <c r="J197" t="s">
        <v>353</v>
      </c>
      <c r="K197" t="s">
        <v>582</v>
      </c>
    </row>
    <row r="198" spans="1:11" x14ac:dyDescent="0.35">
      <c r="A198" t="s">
        <v>61</v>
      </c>
      <c r="B198" t="s">
        <v>364</v>
      </c>
      <c r="C198">
        <v>1429.62</v>
      </c>
      <c r="D198" t="s">
        <v>395</v>
      </c>
      <c r="E198">
        <v>4</v>
      </c>
      <c r="F198" t="s">
        <v>397</v>
      </c>
      <c r="G198" t="s">
        <v>402</v>
      </c>
      <c r="H198" t="s">
        <v>404</v>
      </c>
      <c r="I198" t="s">
        <v>409</v>
      </c>
      <c r="J198" t="s">
        <v>353</v>
      </c>
      <c r="K198" t="s">
        <v>583</v>
      </c>
    </row>
    <row r="199" spans="1:11" x14ac:dyDescent="0.35">
      <c r="A199" t="s">
        <v>178</v>
      </c>
      <c r="B199" t="s">
        <v>314</v>
      </c>
      <c r="C199">
        <v>443.46</v>
      </c>
      <c r="D199" t="s">
        <v>392</v>
      </c>
      <c r="E199">
        <v>3</v>
      </c>
      <c r="F199" t="s">
        <v>398</v>
      </c>
      <c r="G199" t="s">
        <v>402</v>
      </c>
      <c r="H199" t="s">
        <v>404</v>
      </c>
      <c r="I199" t="s">
        <v>410</v>
      </c>
      <c r="J199" t="s">
        <v>353</v>
      </c>
      <c r="K199" t="s">
        <v>583</v>
      </c>
    </row>
    <row r="200" spans="1:11" x14ac:dyDescent="0.35">
      <c r="A200" t="s">
        <v>112</v>
      </c>
      <c r="B200" t="s">
        <v>222</v>
      </c>
      <c r="C200">
        <v>4153.6499999999996</v>
      </c>
      <c r="D200" t="s">
        <v>395</v>
      </c>
      <c r="E200">
        <v>5</v>
      </c>
      <c r="F200" t="s">
        <v>401</v>
      </c>
      <c r="G200" t="s">
        <v>403</v>
      </c>
      <c r="H200" t="s">
        <v>404</v>
      </c>
      <c r="I200" t="s">
        <v>409</v>
      </c>
      <c r="J200" t="s">
        <v>353</v>
      </c>
      <c r="K200" t="s">
        <v>582</v>
      </c>
    </row>
    <row r="201" spans="1:11" x14ac:dyDescent="0.35">
      <c r="A201" t="s">
        <v>112</v>
      </c>
      <c r="B201" t="s">
        <v>350</v>
      </c>
      <c r="C201">
        <v>2830.15</v>
      </c>
      <c r="D201" t="s">
        <v>393</v>
      </c>
      <c r="E201">
        <v>3</v>
      </c>
      <c r="F201" t="s">
        <v>399</v>
      </c>
      <c r="G201" t="s">
        <v>402</v>
      </c>
      <c r="H201" t="s">
        <v>405</v>
      </c>
      <c r="I201" t="s">
        <v>409</v>
      </c>
      <c r="J201" t="s">
        <v>226</v>
      </c>
      <c r="K201" t="s">
        <v>582</v>
      </c>
    </row>
    <row r="202" spans="1:11" x14ac:dyDescent="0.35">
      <c r="A202" t="s">
        <v>120</v>
      </c>
      <c r="B202" t="s">
        <v>350</v>
      </c>
      <c r="C202">
        <v>2956.87</v>
      </c>
      <c r="D202" t="s">
        <v>394</v>
      </c>
      <c r="E202">
        <v>2</v>
      </c>
      <c r="F202" t="s">
        <v>401</v>
      </c>
      <c r="G202" t="s">
        <v>402</v>
      </c>
      <c r="H202" t="s">
        <v>406</v>
      </c>
      <c r="I202" t="s">
        <v>410</v>
      </c>
      <c r="J202" t="s">
        <v>226</v>
      </c>
      <c r="K202" t="s">
        <v>583</v>
      </c>
    </row>
    <row r="203" spans="1:11" x14ac:dyDescent="0.35">
      <c r="A203" t="s">
        <v>196</v>
      </c>
      <c r="B203" t="s">
        <v>239</v>
      </c>
      <c r="C203">
        <v>4030.9</v>
      </c>
      <c r="D203" t="s">
        <v>391</v>
      </c>
      <c r="E203">
        <v>3</v>
      </c>
      <c r="F203" t="s">
        <v>401</v>
      </c>
      <c r="G203" t="s">
        <v>403</v>
      </c>
      <c r="H203" t="s">
        <v>406</v>
      </c>
      <c r="I203" t="s">
        <v>409</v>
      </c>
      <c r="J203" t="s">
        <v>226</v>
      </c>
      <c r="K203" t="s">
        <v>582</v>
      </c>
    </row>
    <row r="204" spans="1:11" x14ac:dyDescent="0.35">
      <c r="A204" t="s">
        <v>148</v>
      </c>
      <c r="B204" t="s">
        <v>331</v>
      </c>
      <c r="C204">
        <v>429.21</v>
      </c>
      <c r="D204" t="s">
        <v>396</v>
      </c>
      <c r="E204">
        <v>5</v>
      </c>
      <c r="F204" t="s">
        <v>397</v>
      </c>
      <c r="G204" t="s">
        <v>402</v>
      </c>
      <c r="H204" t="s">
        <v>405</v>
      </c>
      <c r="I204" t="s">
        <v>410</v>
      </c>
      <c r="J204" t="s">
        <v>226</v>
      </c>
      <c r="K204" t="s">
        <v>583</v>
      </c>
    </row>
    <row r="205" spans="1:11" x14ac:dyDescent="0.35">
      <c r="A205" t="s">
        <v>88</v>
      </c>
      <c r="B205" t="s">
        <v>210</v>
      </c>
      <c r="C205">
        <v>3097.96</v>
      </c>
      <c r="D205" t="s">
        <v>393</v>
      </c>
      <c r="E205">
        <v>3</v>
      </c>
      <c r="F205" t="s">
        <v>401</v>
      </c>
      <c r="G205" t="s">
        <v>402</v>
      </c>
      <c r="H205" t="s">
        <v>408</v>
      </c>
      <c r="I205" t="s">
        <v>409</v>
      </c>
      <c r="J205" t="s">
        <v>382</v>
      </c>
      <c r="K205" t="s">
        <v>582</v>
      </c>
    </row>
    <row r="206" spans="1:11" x14ac:dyDescent="0.35">
      <c r="A206" t="s">
        <v>152</v>
      </c>
      <c r="B206" t="s">
        <v>230</v>
      </c>
      <c r="C206">
        <v>2220.23</v>
      </c>
      <c r="D206" t="s">
        <v>392</v>
      </c>
      <c r="E206">
        <v>3</v>
      </c>
      <c r="F206" t="s">
        <v>397</v>
      </c>
      <c r="G206" t="s">
        <v>403</v>
      </c>
      <c r="H206" t="s">
        <v>407</v>
      </c>
      <c r="I206" t="s">
        <v>410</v>
      </c>
      <c r="J206" t="s">
        <v>382</v>
      </c>
      <c r="K206" t="s">
        <v>583</v>
      </c>
    </row>
    <row r="207" spans="1:11" x14ac:dyDescent="0.35">
      <c r="A207" t="s">
        <v>196</v>
      </c>
      <c r="B207" t="s">
        <v>364</v>
      </c>
      <c r="C207">
        <v>1323.08</v>
      </c>
      <c r="D207" t="s">
        <v>395</v>
      </c>
      <c r="E207">
        <v>4</v>
      </c>
      <c r="F207" t="s">
        <v>399</v>
      </c>
      <c r="G207" t="s">
        <v>403</v>
      </c>
      <c r="H207" t="s">
        <v>408</v>
      </c>
      <c r="I207" t="s">
        <v>410</v>
      </c>
      <c r="J207" t="s">
        <v>382</v>
      </c>
      <c r="K207" t="s">
        <v>583</v>
      </c>
    </row>
    <row r="208" spans="1:11" x14ac:dyDescent="0.35">
      <c r="A208" t="s">
        <v>147</v>
      </c>
      <c r="B208" t="s">
        <v>210</v>
      </c>
      <c r="C208">
        <v>3678.52</v>
      </c>
      <c r="D208" t="s">
        <v>396</v>
      </c>
      <c r="E208">
        <v>2</v>
      </c>
      <c r="F208" t="s">
        <v>398</v>
      </c>
      <c r="G208" t="s">
        <v>403</v>
      </c>
      <c r="H208" t="s">
        <v>404</v>
      </c>
      <c r="I208" t="s">
        <v>409</v>
      </c>
      <c r="J208" t="s">
        <v>382</v>
      </c>
      <c r="K208" t="s">
        <v>582</v>
      </c>
    </row>
    <row r="209" spans="1:11" x14ac:dyDescent="0.35">
      <c r="A209" t="s">
        <v>184</v>
      </c>
      <c r="B209" t="s">
        <v>281</v>
      </c>
      <c r="C209">
        <v>3502.16</v>
      </c>
      <c r="D209" t="s">
        <v>396</v>
      </c>
      <c r="E209">
        <v>4</v>
      </c>
      <c r="F209" t="s">
        <v>398</v>
      </c>
      <c r="G209" t="s">
        <v>403</v>
      </c>
      <c r="H209" t="s">
        <v>405</v>
      </c>
      <c r="I209" t="s">
        <v>410</v>
      </c>
      <c r="J209" t="s">
        <v>229</v>
      </c>
      <c r="K209" t="s">
        <v>582</v>
      </c>
    </row>
    <row r="210" spans="1:11" x14ac:dyDescent="0.35">
      <c r="A210" t="s">
        <v>179</v>
      </c>
      <c r="B210" t="s">
        <v>239</v>
      </c>
      <c r="C210">
        <v>3561.81</v>
      </c>
      <c r="D210" t="s">
        <v>392</v>
      </c>
      <c r="E210">
        <v>2</v>
      </c>
      <c r="F210" t="s">
        <v>397</v>
      </c>
      <c r="G210" t="s">
        <v>402</v>
      </c>
      <c r="H210" t="s">
        <v>406</v>
      </c>
      <c r="I210" t="s">
        <v>409</v>
      </c>
      <c r="J210" t="s">
        <v>229</v>
      </c>
      <c r="K210" t="s">
        <v>582</v>
      </c>
    </row>
    <row r="211" spans="1:11" x14ac:dyDescent="0.35">
      <c r="A211" t="s">
        <v>140</v>
      </c>
      <c r="B211" t="s">
        <v>388</v>
      </c>
      <c r="C211">
        <v>1741.72</v>
      </c>
      <c r="D211" t="s">
        <v>392</v>
      </c>
      <c r="E211">
        <v>4</v>
      </c>
      <c r="F211" t="s">
        <v>399</v>
      </c>
      <c r="G211" t="s">
        <v>402</v>
      </c>
      <c r="H211" t="s">
        <v>406</v>
      </c>
      <c r="I211" t="s">
        <v>410</v>
      </c>
      <c r="J211" t="s">
        <v>229</v>
      </c>
      <c r="K211" t="s">
        <v>582</v>
      </c>
    </row>
    <row r="212" spans="1:11" x14ac:dyDescent="0.35">
      <c r="A212" t="s">
        <v>39</v>
      </c>
      <c r="B212" t="s">
        <v>388</v>
      </c>
      <c r="C212">
        <v>1880.37</v>
      </c>
      <c r="D212" t="s">
        <v>394</v>
      </c>
      <c r="E212">
        <v>2</v>
      </c>
      <c r="F212" t="s">
        <v>399</v>
      </c>
      <c r="G212" t="s">
        <v>402</v>
      </c>
      <c r="H212" t="s">
        <v>405</v>
      </c>
      <c r="I212" t="s">
        <v>409</v>
      </c>
      <c r="J212" t="s">
        <v>229</v>
      </c>
      <c r="K212" t="s">
        <v>582</v>
      </c>
    </row>
    <row r="213" spans="1:11" x14ac:dyDescent="0.35">
      <c r="A213" t="s">
        <v>50</v>
      </c>
      <c r="B213" t="s">
        <v>240</v>
      </c>
      <c r="C213">
        <v>2482.4699999999998</v>
      </c>
      <c r="D213" t="s">
        <v>395</v>
      </c>
      <c r="E213">
        <v>3</v>
      </c>
      <c r="F213" t="s">
        <v>400</v>
      </c>
      <c r="G213" t="s">
        <v>402</v>
      </c>
      <c r="H213" t="s">
        <v>405</v>
      </c>
      <c r="I213" t="s">
        <v>410</v>
      </c>
      <c r="J213" t="s">
        <v>381</v>
      </c>
      <c r="K213" t="s">
        <v>583</v>
      </c>
    </row>
    <row r="214" spans="1:11" x14ac:dyDescent="0.35">
      <c r="A214" t="s">
        <v>73</v>
      </c>
      <c r="B214" t="s">
        <v>269</v>
      </c>
      <c r="C214">
        <v>2234.4899999999998</v>
      </c>
      <c r="D214" t="s">
        <v>393</v>
      </c>
      <c r="E214">
        <v>4</v>
      </c>
      <c r="F214" t="s">
        <v>397</v>
      </c>
      <c r="G214" t="s">
        <v>402</v>
      </c>
      <c r="H214" t="s">
        <v>405</v>
      </c>
      <c r="I214" t="s">
        <v>410</v>
      </c>
      <c r="J214" t="s">
        <v>381</v>
      </c>
      <c r="K214" t="s">
        <v>582</v>
      </c>
    </row>
    <row r="215" spans="1:11" x14ac:dyDescent="0.35">
      <c r="A215" t="s">
        <v>78</v>
      </c>
      <c r="B215" t="s">
        <v>274</v>
      </c>
      <c r="C215">
        <v>1256.58</v>
      </c>
      <c r="D215" t="s">
        <v>396</v>
      </c>
      <c r="E215">
        <v>1</v>
      </c>
      <c r="F215" t="s">
        <v>398</v>
      </c>
      <c r="G215" t="s">
        <v>402</v>
      </c>
      <c r="H215" t="s">
        <v>407</v>
      </c>
      <c r="I215" t="s">
        <v>409</v>
      </c>
      <c r="J215" t="s">
        <v>381</v>
      </c>
      <c r="K215" t="s">
        <v>582</v>
      </c>
    </row>
    <row r="216" spans="1:11" x14ac:dyDescent="0.35">
      <c r="A216" t="s">
        <v>40</v>
      </c>
      <c r="B216" t="s">
        <v>329</v>
      </c>
      <c r="C216">
        <v>749.6</v>
      </c>
      <c r="D216" t="s">
        <v>395</v>
      </c>
      <c r="E216">
        <v>1</v>
      </c>
      <c r="F216" t="s">
        <v>397</v>
      </c>
      <c r="G216" t="s">
        <v>403</v>
      </c>
      <c r="H216" t="s">
        <v>406</v>
      </c>
      <c r="I216" t="s">
        <v>409</v>
      </c>
      <c r="J216" t="s">
        <v>381</v>
      </c>
      <c r="K216" t="s">
        <v>583</v>
      </c>
    </row>
    <row r="217" spans="1:11" x14ac:dyDescent="0.35">
      <c r="A217" t="s">
        <v>14</v>
      </c>
      <c r="B217" t="s">
        <v>288</v>
      </c>
      <c r="C217">
        <v>882.38</v>
      </c>
      <c r="D217" t="s">
        <v>395</v>
      </c>
      <c r="E217">
        <v>2</v>
      </c>
      <c r="F217" t="s">
        <v>398</v>
      </c>
      <c r="G217" t="s">
        <v>402</v>
      </c>
      <c r="H217" t="s">
        <v>408</v>
      </c>
      <c r="I217" t="s">
        <v>409</v>
      </c>
      <c r="J217" t="s">
        <v>381</v>
      </c>
      <c r="K217" t="s">
        <v>582</v>
      </c>
    </row>
    <row r="218" spans="1:11" x14ac:dyDescent="0.35">
      <c r="A218" t="s">
        <v>56</v>
      </c>
      <c r="B218" t="s">
        <v>313</v>
      </c>
      <c r="C218">
        <v>4128.83</v>
      </c>
      <c r="D218" t="s">
        <v>391</v>
      </c>
      <c r="E218">
        <v>4</v>
      </c>
      <c r="F218" t="s">
        <v>398</v>
      </c>
      <c r="G218" t="s">
        <v>403</v>
      </c>
      <c r="H218" t="s">
        <v>405</v>
      </c>
      <c r="I218" t="s">
        <v>410</v>
      </c>
      <c r="J218" t="s">
        <v>381</v>
      </c>
      <c r="K218" t="s">
        <v>583</v>
      </c>
    </row>
    <row r="219" spans="1:11" x14ac:dyDescent="0.35">
      <c r="A219" t="s">
        <v>161</v>
      </c>
      <c r="B219" t="s">
        <v>378</v>
      </c>
      <c r="C219">
        <v>3000.72</v>
      </c>
      <c r="D219" t="s">
        <v>392</v>
      </c>
      <c r="E219">
        <v>5</v>
      </c>
      <c r="F219" t="s">
        <v>398</v>
      </c>
      <c r="G219" t="s">
        <v>403</v>
      </c>
      <c r="H219" t="s">
        <v>405</v>
      </c>
      <c r="I219" t="s">
        <v>410</v>
      </c>
      <c r="J219" t="s">
        <v>270</v>
      </c>
      <c r="K219" t="s">
        <v>583</v>
      </c>
    </row>
    <row r="220" spans="1:11" x14ac:dyDescent="0.35">
      <c r="A220" t="s">
        <v>119</v>
      </c>
      <c r="B220" t="s">
        <v>219</v>
      </c>
      <c r="C220">
        <v>2240.71</v>
      </c>
      <c r="D220" t="s">
        <v>395</v>
      </c>
      <c r="E220">
        <v>5</v>
      </c>
      <c r="F220" t="s">
        <v>399</v>
      </c>
      <c r="G220" t="s">
        <v>402</v>
      </c>
      <c r="H220" t="s">
        <v>405</v>
      </c>
      <c r="I220" t="s">
        <v>410</v>
      </c>
      <c r="J220" t="s">
        <v>310</v>
      </c>
      <c r="K220" t="s">
        <v>583</v>
      </c>
    </row>
    <row r="221" spans="1:11" x14ac:dyDescent="0.35">
      <c r="A221" t="s">
        <v>58</v>
      </c>
      <c r="B221" t="s">
        <v>231</v>
      </c>
      <c r="C221">
        <v>4790.9799999999996</v>
      </c>
      <c r="D221" t="s">
        <v>391</v>
      </c>
      <c r="E221">
        <v>4</v>
      </c>
      <c r="F221" t="s">
        <v>397</v>
      </c>
      <c r="G221" t="s">
        <v>402</v>
      </c>
      <c r="H221" t="s">
        <v>407</v>
      </c>
      <c r="I221" t="s">
        <v>409</v>
      </c>
      <c r="J221" t="s">
        <v>310</v>
      </c>
      <c r="K221" t="s">
        <v>582</v>
      </c>
    </row>
    <row r="222" spans="1:11" x14ac:dyDescent="0.35">
      <c r="A222" t="s">
        <v>88</v>
      </c>
      <c r="B222" t="s">
        <v>343</v>
      </c>
      <c r="C222">
        <v>2358.3200000000002</v>
      </c>
      <c r="D222" t="s">
        <v>395</v>
      </c>
      <c r="E222">
        <v>3</v>
      </c>
      <c r="F222" t="s">
        <v>400</v>
      </c>
      <c r="G222" t="s">
        <v>403</v>
      </c>
      <c r="H222" t="s">
        <v>405</v>
      </c>
      <c r="I222" t="s">
        <v>409</v>
      </c>
      <c r="J222" t="s">
        <v>310</v>
      </c>
      <c r="K222" t="s">
        <v>582</v>
      </c>
    </row>
    <row r="223" spans="1:11" x14ac:dyDescent="0.35">
      <c r="A223" t="s">
        <v>70</v>
      </c>
      <c r="B223" t="s">
        <v>257</v>
      </c>
      <c r="C223">
        <v>2835.98</v>
      </c>
      <c r="D223" t="s">
        <v>393</v>
      </c>
      <c r="E223">
        <v>2</v>
      </c>
      <c r="F223" t="s">
        <v>401</v>
      </c>
      <c r="G223" t="s">
        <v>403</v>
      </c>
      <c r="H223" t="s">
        <v>405</v>
      </c>
      <c r="I223" t="s">
        <v>410</v>
      </c>
      <c r="J223" t="s">
        <v>310</v>
      </c>
      <c r="K223" t="s">
        <v>582</v>
      </c>
    </row>
    <row r="224" spans="1:11" x14ac:dyDescent="0.35">
      <c r="A224" t="s">
        <v>18</v>
      </c>
      <c r="B224" t="s">
        <v>219</v>
      </c>
      <c r="C224">
        <v>106.56</v>
      </c>
      <c r="D224" t="s">
        <v>394</v>
      </c>
      <c r="E224">
        <v>4</v>
      </c>
      <c r="F224" t="s">
        <v>399</v>
      </c>
      <c r="G224" t="s">
        <v>402</v>
      </c>
      <c r="H224" t="s">
        <v>404</v>
      </c>
      <c r="I224" t="s">
        <v>409</v>
      </c>
      <c r="J224" t="s">
        <v>377</v>
      </c>
      <c r="K224" t="s">
        <v>583</v>
      </c>
    </row>
    <row r="225" spans="1:11" x14ac:dyDescent="0.35">
      <c r="A225" t="s">
        <v>15</v>
      </c>
      <c r="B225" t="s">
        <v>271</v>
      </c>
      <c r="C225">
        <v>2645.11</v>
      </c>
      <c r="D225" t="s">
        <v>392</v>
      </c>
      <c r="E225">
        <v>1</v>
      </c>
      <c r="F225" t="s">
        <v>399</v>
      </c>
      <c r="G225" t="s">
        <v>402</v>
      </c>
      <c r="H225" t="s">
        <v>407</v>
      </c>
      <c r="I225" t="s">
        <v>410</v>
      </c>
      <c r="J225" t="s">
        <v>377</v>
      </c>
      <c r="K225" t="s">
        <v>582</v>
      </c>
    </row>
    <row r="226" spans="1:11" x14ac:dyDescent="0.35">
      <c r="A226" t="s">
        <v>45</v>
      </c>
      <c r="B226" t="s">
        <v>241</v>
      </c>
      <c r="C226">
        <v>4504.58</v>
      </c>
      <c r="D226" t="s">
        <v>391</v>
      </c>
      <c r="E226">
        <v>2</v>
      </c>
      <c r="F226" t="s">
        <v>398</v>
      </c>
      <c r="G226" t="s">
        <v>402</v>
      </c>
      <c r="H226" t="s">
        <v>408</v>
      </c>
      <c r="I226" t="s">
        <v>410</v>
      </c>
      <c r="J226" t="s">
        <v>217</v>
      </c>
      <c r="K226" t="s">
        <v>582</v>
      </c>
    </row>
    <row r="227" spans="1:11" x14ac:dyDescent="0.35">
      <c r="A227" t="s">
        <v>109</v>
      </c>
      <c r="B227" t="s">
        <v>291</v>
      </c>
      <c r="C227">
        <v>3214.12</v>
      </c>
      <c r="D227" t="s">
        <v>396</v>
      </c>
      <c r="E227">
        <v>3</v>
      </c>
      <c r="F227" t="s">
        <v>398</v>
      </c>
      <c r="G227" t="s">
        <v>403</v>
      </c>
      <c r="H227" t="s">
        <v>404</v>
      </c>
      <c r="I227" t="s">
        <v>410</v>
      </c>
      <c r="J227" t="s">
        <v>217</v>
      </c>
      <c r="K227" t="s">
        <v>582</v>
      </c>
    </row>
    <row r="228" spans="1:11" x14ac:dyDescent="0.35">
      <c r="A228" t="s">
        <v>117</v>
      </c>
      <c r="B228" t="s">
        <v>219</v>
      </c>
      <c r="C228">
        <v>1569.42</v>
      </c>
      <c r="D228" t="s">
        <v>395</v>
      </c>
      <c r="E228">
        <v>1</v>
      </c>
      <c r="F228" t="s">
        <v>399</v>
      </c>
      <c r="G228" t="s">
        <v>402</v>
      </c>
      <c r="H228" t="s">
        <v>407</v>
      </c>
      <c r="I228" t="s">
        <v>410</v>
      </c>
      <c r="J228" t="s">
        <v>217</v>
      </c>
      <c r="K228" t="s">
        <v>582</v>
      </c>
    </row>
    <row r="229" spans="1:11" x14ac:dyDescent="0.35">
      <c r="A229" t="s">
        <v>17</v>
      </c>
      <c r="B229" t="s">
        <v>210</v>
      </c>
      <c r="C229">
        <v>1610.6</v>
      </c>
      <c r="D229" t="s">
        <v>393</v>
      </c>
      <c r="E229">
        <v>2</v>
      </c>
      <c r="F229" t="s">
        <v>397</v>
      </c>
      <c r="G229" t="s">
        <v>402</v>
      </c>
      <c r="H229" t="s">
        <v>408</v>
      </c>
      <c r="I229" t="s">
        <v>409</v>
      </c>
      <c r="J229" t="s">
        <v>261</v>
      </c>
      <c r="K229" t="s">
        <v>582</v>
      </c>
    </row>
    <row r="230" spans="1:11" x14ac:dyDescent="0.35">
      <c r="A230" t="s">
        <v>99</v>
      </c>
      <c r="B230" t="s">
        <v>249</v>
      </c>
      <c r="C230">
        <v>4065.17</v>
      </c>
      <c r="D230" t="s">
        <v>395</v>
      </c>
      <c r="E230">
        <v>3</v>
      </c>
      <c r="F230" t="s">
        <v>399</v>
      </c>
      <c r="G230" t="s">
        <v>402</v>
      </c>
      <c r="H230" t="s">
        <v>405</v>
      </c>
      <c r="I230" t="s">
        <v>409</v>
      </c>
      <c r="J230" t="s">
        <v>261</v>
      </c>
      <c r="K230" t="s">
        <v>582</v>
      </c>
    </row>
    <row r="231" spans="1:11" x14ac:dyDescent="0.35">
      <c r="A231" t="s">
        <v>34</v>
      </c>
      <c r="B231" t="s">
        <v>233</v>
      </c>
      <c r="C231">
        <v>195.85</v>
      </c>
      <c r="D231" t="s">
        <v>391</v>
      </c>
      <c r="E231">
        <v>4</v>
      </c>
      <c r="F231" t="s">
        <v>399</v>
      </c>
      <c r="G231" t="s">
        <v>402</v>
      </c>
      <c r="H231" t="s">
        <v>405</v>
      </c>
      <c r="I231" t="s">
        <v>409</v>
      </c>
      <c r="J231" t="s">
        <v>261</v>
      </c>
      <c r="K231" t="s">
        <v>583</v>
      </c>
    </row>
    <row r="232" spans="1:11" x14ac:dyDescent="0.35">
      <c r="A232" t="s">
        <v>37</v>
      </c>
      <c r="B232" t="s">
        <v>232</v>
      </c>
      <c r="C232">
        <v>715.76</v>
      </c>
      <c r="D232" t="s">
        <v>394</v>
      </c>
      <c r="E232">
        <v>3</v>
      </c>
      <c r="F232" t="s">
        <v>399</v>
      </c>
      <c r="G232" t="s">
        <v>402</v>
      </c>
      <c r="H232" t="s">
        <v>405</v>
      </c>
      <c r="I232" t="s">
        <v>410</v>
      </c>
      <c r="J232" t="s">
        <v>261</v>
      </c>
      <c r="K232" t="s">
        <v>583</v>
      </c>
    </row>
    <row r="233" spans="1:11" x14ac:dyDescent="0.35">
      <c r="A233" t="s">
        <v>27</v>
      </c>
      <c r="B233" t="s">
        <v>385</v>
      </c>
      <c r="C233">
        <v>3400.48</v>
      </c>
      <c r="D233" t="s">
        <v>396</v>
      </c>
      <c r="E233">
        <v>5</v>
      </c>
      <c r="F233" t="s">
        <v>398</v>
      </c>
      <c r="G233" t="s">
        <v>403</v>
      </c>
      <c r="H233" t="s">
        <v>406</v>
      </c>
      <c r="I233" t="s">
        <v>409</v>
      </c>
      <c r="J233" t="s">
        <v>261</v>
      </c>
      <c r="K233" t="s">
        <v>583</v>
      </c>
    </row>
    <row r="234" spans="1:11" x14ac:dyDescent="0.35">
      <c r="A234" t="s">
        <v>48</v>
      </c>
      <c r="B234" t="s">
        <v>332</v>
      </c>
      <c r="C234">
        <v>4099.09</v>
      </c>
      <c r="D234" t="s">
        <v>395</v>
      </c>
      <c r="E234">
        <v>5</v>
      </c>
      <c r="F234" t="s">
        <v>401</v>
      </c>
      <c r="G234" t="s">
        <v>402</v>
      </c>
      <c r="H234" t="s">
        <v>405</v>
      </c>
      <c r="I234" t="s">
        <v>410</v>
      </c>
      <c r="J234" t="s">
        <v>375</v>
      </c>
      <c r="K234" t="s">
        <v>583</v>
      </c>
    </row>
    <row r="235" spans="1:11" x14ac:dyDescent="0.35">
      <c r="A235" t="s">
        <v>124</v>
      </c>
      <c r="B235" t="s">
        <v>296</v>
      </c>
      <c r="C235">
        <v>228.49</v>
      </c>
      <c r="D235" t="s">
        <v>396</v>
      </c>
      <c r="E235">
        <v>2</v>
      </c>
      <c r="F235" t="s">
        <v>397</v>
      </c>
      <c r="G235" t="s">
        <v>403</v>
      </c>
      <c r="H235" t="s">
        <v>405</v>
      </c>
      <c r="I235" t="s">
        <v>409</v>
      </c>
      <c r="J235" t="s">
        <v>285</v>
      </c>
      <c r="K235" t="s">
        <v>582</v>
      </c>
    </row>
    <row r="236" spans="1:11" x14ac:dyDescent="0.35">
      <c r="A236" t="s">
        <v>155</v>
      </c>
      <c r="B236" t="s">
        <v>351</v>
      </c>
      <c r="C236">
        <v>4330.5200000000004</v>
      </c>
      <c r="D236" t="s">
        <v>395</v>
      </c>
      <c r="E236">
        <v>3</v>
      </c>
      <c r="F236" t="s">
        <v>397</v>
      </c>
      <c r="G236" t="s">
        <v>403</v>
      </c>
      <c r="H236" t="s">
        <v>408</v>
      </c>
      <c r="I236" t="s">
        <v>410</v>
      </c>
      <c r="J236" t="s">
        <v>285</v>
      </c>
      <c r="K236" t="s">
        <v>583</v>
      </c>
    </row>
    <row r="237" spans="1:11" x14ac:dyDescent="0.35">
      <c r="A237" t="s">
        <v>70</v>
      </c>
      <c r="B237" t="s">
        <v>369</v>
      </c>
      <c r="C237">
        <v>3785.18</v>
      </c>
      <c r="D237" t="s">
        <v>393</v>
      </c>
      <c r="E237">
        <v>4</v>
      </c>
      <c r="F237" t="s">
        <v>401</v>
      </c>
      <c r="G237" t="s">
        <v>402</v>
      </c>
      <c r="H237" t="s">
        <v>404</v>
      </c>
      <c r="I237" t="s">
        <v>409</v>
      </c>
      <c r="J237" t="s">
        <v>285</v>
      </c>
      <c r="K237" t="s">
        <v>582</v>
      </c>
    </row>
    <row r="238" spans="1:11" x14ac:dyDescent="0.35">
      <c r="A238" t="s">
        <v>30</v>
      </c>
      <c r="B238" t="s">
        <v>354</v>
      </c>
      <c r="C238">
        <v>2675.74</v>
      </c>
      <c r="D238" t="s">
        <v>396</v>
      </c>
      <c r="E238">
        <v>1</v>
      </c>
      <c r="F238" t="s">
        <v>400</v>
      </c>
      <c r="G238" t="s">
        <v>402</v>
      </c>
      <c r="H238" t="s">
        <v>404</v>
      </c>
      <c r="I238" t="s">
        <v>410</v>
      </c>
      <c r="J238" t="s">
        <v>285</v>
      </c>
      <c r="K238" t="s">
        <v>582</v>
      </c>
    </row>
    <row r="239" spans="1:11" x14ac:dyDescent="0.35">
      <c r="A239" t="s">
        <v>121</v>
      </c>
      <c r="B239" t="s">
        <v>370</v>
      </c>
      <c r="C239">
        <v>1931.11</v>
      </c>
      <c r="D239" t="s">
        <v>391</v>
      </c>
      <c r="E239">
        <v>4</v>
      </c>
      <c r="F239" t="s">
        <v>399</v>
      </c>
      <c r="G239" t="s">
        <v>403</v>
      </c>
      <c r="H239" t="s">
        <v>405</v>
      </c>
      <c r="I239" t="s">
        <v>409</v>
      </c>
      <c r="J239" t="s">
        <v>285</v>
      </c>
      <c r="K239" t="s">
        <v>582</v>
      </c>
    </row>
    <row r="240" spans="1:11" x14ac:dyDescent="0.35">
      <c r="A240" t="s">
        <v>100</v>
      </c>
      <c r="B240" t="s">
        <v>309</v>
      </c>
      <c r="C240">
        <v>3489.17</v>
      </c>
      <c r="D240" t="s">
        <v>393</v>
      </c>
      <c r="E240">
        <v>3</v>
      </c>
      <c r="F240" t="s">
        <v>397</v>
      </c>
      <c r="G240" t="s">
        <v>402</v>
      </c>
      <c r="H240" t="s">
        <v>407</v>
      </c>
      <c r="I240" t="s">
        <v>410</v>
      </c>
      <c r="J240" t="s">
        <v>285</v>
      </c>
      <c r="K240" t="s">
        <v>583</v>
      </c>
    </row>
    <row r="241" spans="1:11" x14ac:dyDescent="0.35">
      <c r="A241" t="s">
        <v>163</v>
      </c>
      <c r="B241" t="s">
        <v>334</v>
      </c>
      <c r="C241">
        <v>1146</v>
      </c>
      <c r="D241" t="s">
        <v>392</v>
      </c>
      <c r="E241">
        <v>5</v>
      </c>
      <c r="F241" t="s">
        <v>400</v>
      </c>
      <c r="G241" t="s">
        <v>403</v>
      </c>
      <c r="H241" t="s">
        <v>408</v>
      </c>
      <c r="I241" t="s">
        <v>410</v>
      </c>
      <c r="J241" t="s">
        <v>212</v>
      </c>
      <c r="K241" t="s">
        <v>583</v>
      </c>
    </row>
    <row r="242" spans="1:11" x14ac:dyDescent="0.35">
      <c r="A242" t="s">
        <v>200</v>
      </c>
      <c r="B242" t="s">
        <v>237</v>
      </c>
      <c r="C242">
        <v>4482.3900000000003</v>
      </c>
      <c r="D242" t="s">
        <v>391</v>
      </c>
      <c r="E242">
        <v>3</v>
      </c>
      <c r="F242" t="s">
        <v>401</v>
      </c>
      <c r="G242" t="s">
        <v>403</v>
      </c>
      <c r="H242" t="s">
        <v>406</v>
      </c>
      <c r="I242" t="s">
        <v>410</v>
      </c>
      <c r="J242" t="s">
        <v>212</v>
      </c>
      <c r="K242" t="s">
        <v>583</v>
      </c>
    </row>
    <row r="243" spans="1:11" x14ac:dyDescent="0.35">
      <c r="A243" t="s">
        <v>64</v>
      </c>
      <c r="B243" t="s">
        <v>306</v>
      </c>
      <c r="C243">
        <v>2983.26</v>
      </c>
      <c r="D243" t="s">
        <v>391</v>
      </c>
      <c r="E243">
        <v>3</v>
      </c>
      <c r="F243" t="s">
        <v>397</v>
      </c>
      <c r="G243" t="s">
        <v>402</v>
      </c>
      <c r="H243" t="s">
        <v>405</v>
      </c>
      <c r="I243" t="s">
        <v>409</v>
      </c>
      <c r="J243" t="s">
        <v>212</v>
      </c>
      <c r="K243" t="s">
        <v>583</v>
      </c>
    </row>
    <row r="244" spans="1:11" x14ac:dyDescent="0.35">
      <c r="A244" t="s">
        <v>30</v>
      </c>
      <c r="B244" t="s">
        <v>239</v>
      </c>
      <c r="C244">
        <v>4474.05</v>
      </c>
      <c r="D244" t="s">
        <v>396</v>
      </c>
      <c r="E244">
        <v>5</v>
      </c>
      <c r="F244" t="s">
        <v>398</v>
      </c>
      <c r="G244" t="s">
        <v>402</v>
      </c>
      <c r="H244" t="s">
        <v>407</v>
      </c>
      <c r="I244" t="s">
        <v>410</v>
      </c>
      <c r="J244" t="s">
        <v>327</v>
      </c>
      <c r="K244" t="s">
        <v>583</v>
      </c>
    </row>
    <row r="245" spans="1:11" x14ac:dyDescent="0.35">
      <c r="A245" t="s">
        <v>24</v>
      </c>
      <c r="B245" t="s">
        <v>267</v>
      </c>
      <c r="C245">
        <v>1024.33</v>
      </c>
      <c r="D245" t="s">
        <v>391</v>
      </c>
      <c r="E245">
        <v>3</v>
      </c>
      <c r="F245" t="s">
        <v>401</v>
      </c>
      <c r="G245" t="s">
        <v>402</v>
      </c>
      <c r="H245" t="s">
        <v>404</v>
      </c>
      <c r="I245" t="s">
        <v>410</v>
      </c>
      <c r="J245" t="s">
        <v>327</v>
      </c>
      <c r="K245" t="s">
        <v>582</v>
      </c>
    </row>
    <row r="246" spans="1:11" x14ac:dyDescent="0.35">
      <c r="A246" t="s">
        <v>23</v>
      </c>
      <c r="B246" t="s">
        <v>222</v>
      </c>
      <c r="C246">
        <v>3656.02</v>
      </c>
      <c r="D246" t="s">
        <v>396</v>
      </c>
      <c r="E246">
        <v>4</v>
      </c>
      <c r="F246" t="s">
        <v>398</v>
      </c>
      <c r="G246" t="s">
        <v>403</v>
      </c>
      <c r="H246" t="s">
        <v>406</v>
      </c>
      <c r="I246" t="s">
        <v>410</v>
      </c>
      <c r="J246" t="s">
        <v>327</v>
      </c>
      <c r="K246" t="s">
        <v>583</v>
      </c>
    </row>
    <row r="247" spans="1:11" x14ac:dyDescent="0.35">
      <c r="A247" t="s">
        <v>128</v>
      </c>
      <c r="B247" t="s">
        <v>362</v>
      </c>
      <c r="C247">
        <v>249.74</v>
      </c>
      <c r="D247" t="s">
        <v>395</v>
      </c>
      <c r="E247">
        <v>3</v>
      </c>
      <c r="F247" t="s">
        <v>399</v>
      </c>
      <c r="G247" t="s">
        <v>402</v>
      </c>
      <c r="H247" t="s">
        <v>404</v>
      </c>
      <c r="I247" t="s">
        <v>409</v>
      </c>
      <c r="J247" t="s">
        <v>327</v>
      </c>
      <c r="K247" t="s">
        <v>583</v>
      </c>
    </row>
    <row r="248" spans="1:11" x14ac:dyDescent="0.35">
      <c r="A248" t="s">
        <v>100</v>
      </c>
      <c r="B248" t="s">
        <v>343</v>
      </c>
      <c r="C248">
        <v>360.92</v>
      </c>
      <c r="D248" t="s">
        <v>391</v>
      </c>
      <c r="E248">
        <v>2</v>
      </c>
      <c r="F248" t="s">
        <v>397</v>
      </c>
      <c r="G248" t="s">
        <v>402</v>
      </c>
      <c r="H248" t="s">
        <v>406</v>
      </c>
      <c r="I248" t="s">
        <v>410</v>
      </c>
      <c r="J248" t="s">
        <v>327</v>
      </c>
      <c r="K248" t="s">
        <v>582</v>
      </c>
    </row>
    <row r="249" spans="1:11" x14ac:dyDescent="0.35">
      <c r="A249" t="s">
        <v>162</v>
      </c>
      <c r="B249" t="s">
        <v>250</v>
      </c>
      <c r="C249">
        <v>4945.8999999999996</v>
      </c>
      <c r="D249" t="s">
        <v>396</v>
      </c>
      <c r="E249">
        <v>2</v>
      </c>
      <c r="F249" t="s">
        <v>399</v>
      </c>
      <c r="G249" t="s">
        <v>402</v>
      </c>
      <c r="H249" t="s">
        <v>405</v>
      </c>
      <c r="I249" t="s">
        <v>410</v>
      </c>
      <c r="J249" t="s">
        <v>327</v>
      </c>
      <c r="K249" t="s">
        <v>582</v>
      </c>
    </row>
    <row r="250" spans="1:11" x14ac:dyDescent="0.35">
      <c r="A250" t="s">
        <v>21</v>
      </c>
      <c r="B250" t="s">
        <v>357</v>
      </c>
      <c r="C250">
        <v>3952.65</v>
      </c>
      <c r="D250" t="s">
        <v>396</v>
      </c>
      <c r="E250">
        <v>2</v>
      </c>
      <c r="F250" t="s">
        <v>399</v>
      </c>
      <c r="G250" t="s">
        <v>402</v>
      </c>
      <c r="H250" t="s">
        <v>408</v>
      </c>
      <c r="I250" t="s">
        <v>409</v>
      </c>
      <c r="J250" t="s">
        <v>254</v>
      </c>
      <c r="K250" t="s">
        <v>582</v>
      </c>
    </row>
    <row r="251" spans="1:11" x14ac:dyDescent="0.35">
      <c r="A251" t="s">
        <v>149</v>
      </c>
      <c r="B251" t="s">
        <v>227</v>
      </c>
      <c r="C251">
        <v>4123.62</v>
      </c>
      <c r="D251" t="s">
        <v>396</v>
      </c>
      <c r="E251">
        <v>3</v>
      </c>
      <c r="F251" t="s">
        <v>400</v>
      </c>
      <c r="G251" t="s">
        <v>403</v>
      </c>
      <c r="H251" t="s">
        <v>408</v>
      </c>
      <c r="I251" t="s">
        <v>409</v>
      </c>
      <c r="J251" t="s">
        <v>254</v>
      </c>
      <c r="K251" t="s">
        <v>583</v>
      </c>
    </row>
    <row r="252" spans="1:11" x14ac:dyDescent="0.35">
      <c r="A252" t="s">
        <v>14</v>
      </c>
      <c r="B252" t="s">
        <v>268</v>
      </c>
      <c r="C252">
        <v>3071.4</v>
      </c>
      <c r="D252" t="s">
        <v>392</v>
      </c>
      <c r="E252">
        <v>2</v>
      </c>
      <c r="F252" t="s">
        <v>399</v>
      </c>
      <c r="G252" t="s">
        <v>402</v>
      </c>
      <c r="H252" t="s">
        <v>404</v>
      </c>
      <c r="I252" t="s">
        <v>409</v>
      </c>
      <c r="J252" t="s">
        <v>254</v>
      </c>
      <c r="K252" t="s">
        <v>583</v>
      </c>
    </row>
    <row r="253" spans="1:11" x14ac:dyDescent="0.35">
      <c r="A253" t="s">
        <v>51</v>
      </c>
      <c r="B253" t="s">
        <v>249</v>
      </c>
      <c r="C253">
        <v>193.17</v>
      </c>
      <c r="D253" t="s">
        <v>396</v>
      </c>
      <c r="E253">
        <v>2</v>
      </c>
      <c r="F253" t="s">
        <v>397</v>
      </c>
      <c r="G253" t="s">
        <v>403</v>
      </c>
      <c r="H253" t="s">
        <v>405</v>
      </c>
      <c r="I253" t="s">
        <v>409</v>
      </c>
      <c r="J253" t="s">
        <v>360</v>
      </c>
      <c r="K253" t="s">
        <v>582</v>
      </c>
    </row>
    <row r="254" spans="1:11" x14ac:dyDescent="0.35">
      <c r="A254" t="s">
        <v>172</v>
      </c>
      <c r="B254" t="s">
        <v>351</v>
      </c>
      <c r="C254">
        <v>594.62</v>
      </c>
      <c r="D254" t="s">
        <v>395</v>
      </c>
      <c r="E254">
        <v>1</v>
      </c>
      <c r="F254" t="s">
        <v>401</v>
      </c>
      <c r="G254" t="s">
        <v>402</v>
      </c>
      <c r="H254" t="s">
        <v>404</v>
      </c>
      <c r="I254" t="s">
        <v>410</v>
      </c>
      <c r="J254" t="s">
        <v>360</v>
      </c>
      <c r="K254" t="s">
        <v>583</v>
      </c>
    </row>
    <row r="255" spans="1:11" x14ac:dyDescent="0.35">
      <c r="A255" t="s">
        <v>151</v>
      </c>
      <c r="B255" t="s">
        <v>366</v>
      </c>
      <c r="C255">
        <v>3034.41</v>
      </c>
      <c r="D255" t="s">
        <v>396</v>
      </c>
      <c r="E255">
        <v>3</v>
      </c>
      <c r="F255" t="s">
        <v>400</v>
      </c>
      <c r="G255" t="s">
        <v>402</v>
      </c>
      <c r="H255" t="s">
        <v>407</v>
      </c>
      <c r="I255" t="s">
        <v>410</v>
      </c>
      <c r="J255" t="s">
        <v>360</v>
      </c>
      <c r="K255" t="s">
        <v>582</v>
      </c>
    </row>
    <row r="256" spans="1:11" x14ac:dyDescent="0.35">
      <c r="A256" t="s">
        <v>33</v>
      </c>
      <c r="B256" t="s">
        <v>230</v>
      </c>
      <c r="C256">
        <v>1532.28</v>
      </c>
      <c r="D256" t="s">
        <v>392</v>
      </c>
      <c r="E256">
        <v>2</v>
      </c>
      <c r="F256" t="s">
        <v>398</v>
      </c>
      <c r="G256" t="s">
        <v>403</v>
      </c>
      <c r="H256" t="s">
        <v>408</v>
      </c>
      <c r="I256" t="s">
        <v>410</v>
      </c>
      <c r="J256" t="s">
        <v>280</v>
      </c>
      <c r="K256" t="s">
        <v>582</v>
      </c>
    </row>
    <row r="257" spans="1:11" x14ac:dyDescent="0.35">
      <c r="A257" t="s">
        <v>76</v>
      </c>
      <c r="B257" t="s">
        <v>260</v>
      </c>
      <c r="C257">
        <v>4530</v>
      </c>
      <c r="D257" t="s">
        <v>395</v>
      </c>
      <c r="E257">
        <v>4</v>
      </c>
      <c r="F257" t="s">
        <v>400</v>
      </c>
      <c r="G257" t="s">
        <v>403</v>
      </c>
      <c r="H257" t="s">
        <v>406</v>
      </c>
      <c r="I257" t="s">
        <v>410</v>
      </c>
      <c r="J257" t="s">
        <v>280</v>
      </c>
      <c r="K257" t="s">
        <v>582</v>
      </c>
    </row>
    <row r="258" spans="1:11" x14ac:dyDescent="0.35">
      <c r="A258" t="s">
        <v>30</v>
      </c>
      <c r="B258" t="s">
        <v>260</v>
      </c>
      <c r="C258">
        <v>3944.24</v>
      </c>
      <c r="D258" t="s">
        <v>393</v>
      </c>
      <c r="E258">
        <v>1</v>
      </c>
      <c r="F258" t="s">
        <v>401</v>
      </c>
      <c r="G258" t="s">
        <v>403</v>
      </c>
      <c r="H258" t="s">
        <v>404</v>
      </c>
      <c r="I258" t="s">
        <v>410</v>
      </c>
      <c r="J258" t="s">
        <v>280</v>
      </c>
      <c r="K258" t="s">
        <v>583</v>
      </c>
    </row>
    <row r="259" spans="1:11" x14ac:dyDescent="0.35">
      <c r="A259" t="s">
        <v>114</v>
      </c>
      <c r="B259" t="s">
        <v>306</v>
      </c>
      <c r="C259">
        <v>4695.6099999999997</v>
      </c>
      <c r="D259" t="s">
        <v>396</v>
      </c>
      <c r="E259">
        <v>3</v>
      </c>
      <c r="F259" t="s">
        <v>398</v>
      </c>
      <c r="G259" t="s">
        <v>403</v>
      </c>
      <c r="H259" t="s">
        <v>404</v>
      </c>
      <c r="I259" t="s">
        <v>409</v>
      </c>
      <c r="J259" t="s">
        <v>280</v>
      </c>
      <c r="K259" t="s">
        <v>582</v>
      </c>
    </row>
    <row r="260" spans="1:11" x14ac:dyDescent="0.35">
      <c r="A260" t="s">
        <v>78</v>
      </c>
      <c r="B260" t="s">
        <v>270</v>
      </c>
      <c r="C260">
        <v>3992.55</v>
      </c>
      <c r="D260" t="s">
        <v>395</v>
      </c>
      <c r="E260">
        <v>3</v>
      </c>
      <c r="F260" t="s">
        <v>397</v>
      </c>
      <c r="G260" t="s">
        <v>402</v>
      </c>
      <c r="H260" t="s">
        <v>408</v>
      </c>
      <c r="I260" t="s">
        <v>409</v>
      </c>
      <c r="J260" t="s">
        <v>280</v>
      </c>
      <c r="K260" t="s">
        <v>583</v>
      </c>
    </row>
    <row r="261" spans="1:11" x14ac:dyDescent="0.35">
      <c r="A261" t="s">
        <v>37</v>
      </c>
      <c r="B261" t="s">
        <v>226</v>
      </c>
      <c r="C261">
        <v>832.97</v>
      </c>
      <c r="D261" t="s">
        <v>392</v>
      </c>
      <c r="E261">
        <v>2</v>
      </c>
      <c r="F261" t="s">
        <v>397</v>
      </c>
      <c r="G261" t="s">
        <v>403</v>
      </c>
      <c r="H261" t="s">
        <v>405</v>
      </c>
      <c r="I261" t="s">
        <v>409</v>
      </c>
      <c r="J261" t="s">
        <v>280</v>
      </c>
      <c r="K261" t="s">
        <v>582</v>
      </c>
    </row>
    <row r="262" spans="1:11" x14ac:dyDescent="0.35">
      <c r="A262" t="s">
        <v>181</v>
      </c>
      <c r="B262" t="s">
        <v>351</v>
      </c>
      <c r="C262">
        <v>3736.93</v>
      </c>
      <c r="D262" t="s">
        <v>394</v>
      </c>
      <c r="E262">
        <v>5</v>
      </c>
      <c r="F262" t="s">
        <v>397</v>
      </c>
      <c r="G262" t="s">
        <v>403</v>
      </c>
      <c r="H262" t="s">
        <v>404</v>
      </c>
      <c r="I262" t="s">
        <v>409</v>
      </c>
      <c r="J262" t="s">
        <v>280</v>
      </c>
      <c r="K262" t="s">
        <v>582</v>
      </c>
    </row>
    <row r="263" spans="1:11" x14ac:dyDescent="0.35">
      <c r="A263" t="s">
        <v>69</v>
      </c>
      <c r="B263" t="s">
        <v>364</v>
      </c>
      <c r="C263">
        <v>2892.55</v>
      </c>
      <c r="D263" t="s">
        <v>393</v>
      </c>
      <c r="E263">
        <v>4</v>
      </c>
      <c r="F263" t="s">
        <v>401</v>
      </c>
      <c r="G263" t="s">
        <v>402</v>
      </c>
      <c r="H263" t="s">
        <v>408</v>
      </c>
      <c r="I263" t="s">
        <v>409</v>
      </c>
      <c r="J263" t="s">
        <v>278</v>
      </c>
      <c r="K263" t="s">
        <v>582</v>
      </c>
    </row>
    <row r="264" spans="1:11" x14ac:dyDescent="0.35">
      <c r="A264" t="s">
        <v>116</v>
      </c>
      <c r="B264" t="s">
        <v>325</v>
      </c>
      <c r="C264">
        <v>1487.02</v>
      </c>
      <c r="D264" t="s">
        <v>392</v>
      </c>
      <c r="E264">
        <v>1</v>
      </c>
      <c r="F264" t="s">
        <v>400</v>
      </c>
      <c r="G264" t="s">
        <v>403</v>
      </c>
      <c r="H264" t="s">
        <v>405</v>
      </c>
      <c r="I264" t="s">
        <v>409</v>
      </c>
      <c r="J264" t="s">
        <v>278</v>
      </c>
      <c r="K264" t="s">
        <v>583</v>
      </c>
    </row>
    <row r="265" spans="1:11" x14ac:dyDescent="0.35">
      <c r="A265" t="s">
        <v>169</v>
      </c>
      <c r="B265" t="s">
        <v>381</v>
      </c>
      <c r="C265">
        <v>4343.5200000000004</v>
      </c>
      <c r="D265" t="s">
        <v>396</v>
      </c>
      <c r="E265">
        <v>1</v>
      </c>
      <c r="F265" t="s">
        <v>401</v>
      </c>
      <c r="G265" t="s">
        <v>403</v>
      </c>
      <c r="H265" t="s">
        <v>408</v>
      </c>
      <c r="I265" t="s">
        <v>409</v>
      </c>
      <c r="J265" t="s">
        <v>278</v>
      </c>
      <c r="K265" t="s">
        <v>582</v>
      </c>
    </row>
    <row r="266" spans="1:11" x14ac:dyDescent="0.35">
      <c r="A266" t="s">
        <v>74</v>
      </c>
      <c r="B266" t="s">
        <v>270</v>
      </c>
      <c r="C266">
        <v>793.39</v>
      </c>
      <c r="D266" t="s">
        <v>391</v>
      </c>
      <c r="E266">
        <v>3</v>
      </c>
      <c r="F266" t="s">
        <v>400</v>
      </c>
      <c r="G266" t="s">
        <v>402</v>
      </c>
      <c r="H266" t="s">
        <v>407</v>
      </c>
      <c r="I266" t="s">
        <v>409</v>
      </c>
      <c r="J266" t="s">
        <v>284</v>
      </c>
      <c r="K266" t="s">
        <v>582</v>
      </c>
    </row>
    <row r="267" spans="1:11" x14ac:dyDescent="0.35">
      <c r="A267" t="s">
        <v>118</v>
      </c>
      <c r="B267" t="s">
        <v>309</v>
      </c>
      <c r="C267">
        <v>1604.12</v>
      </c>
      <c r="D267" t="s">
        <v>391</v>
      </c>
      <c r="E267">
        <v>4</v>
      </c>
      <c r="F267" t="s">
        <v>399</v>
      </c>
      <c r="G267" t="s">
        <v>402</v>
      </c>
      <c r="H267" t="s">
        <v>405</v>
      </c>
      <c r="I267" t="s">
        <v>410</v>
      </c>
      <c r="J267" t="s">
        <v>284</v>
      </c>
      <c r="K267" t="s">
        <v>583</v>
      </c>
    </row>
    <row r="268" spans="1:11" x14ac:dyDescent="0.35">
      <c r="A268" t="s">
        <v>145</v>
      </c>
      <c r="B268" t="s">
        <v>270</v>
      </c>
      <c r="C268">
        <v>1905.5</v>
      </c>
      <c r="D268" t="s">
        <v>392</v>
      </c>
      <c r="E268">
        <v>4</v>
      </c>
      <c r="F268" t="s">
        <v>398</v>
      </c>
      <c r="G268" t="s">
        <v>403</v>
      </c>
      <c r="H268" t="s">
        <v>407</v>
      </c>
      <c r="I268" t="s">
        <v>409</v>
      </c>
      <c r="J268" t="s">
        <v>284</v>
      </c>
      <c r="K268" t="s">
        <v>582</v>
      </c>
    </row>
    <row r="269" spans="1:11" x14ac:dyDescent="0.35">
      <c r="A269" t="s">
        <v>130</v>
      </c>
      <c r="B269" t="s">
        <v>309</v>
      </c>
      <c r="C269">
        <v>820.59</v>
      </c>
      <c r="D269" t="s">
        <v>394</v>
      </c>
      <c r="E269">
        <v>1</v>
      </c>
      <c r="F269" t="s">
        <v>400</v>
      </c>
      <c r="G269" t="s">
        <v>403</v>
      </c>
      <c r="H269" t="s">
        <v>405</v>
      </c>
      <c r="I269" t="s">
        <v>410</v>
      </c>
      <c r="J269" t="s">
        <v>284</v>
      </c>
      <c r="K269" t="s">
        <v>582</v>
      </c>
    </row>
    <row r="270" spans="1:11" x14ac:dyDescent="0.35">
      <c r="A270" t="s">
        <v>27</v>
      </c>
      <c r="B270" t="s">
        <v>304</v>
      </c>
      <c r="C270">
        <v>3983.47</v>
      </c>
      <c r="D270" t="s">
        <v>393</v>
      </c>
      <c r="E270">
        <v>3</v>
      </c>
      <c r="F270" t="s">
        <v>397</v>
      </c>
      <c r="G270" t="s">
        <v>402</v>
      </c>
      <c r="H270" t="s">
        <v>408</v>
      </c>
      <c r="I270" t="s">
        <v>409</v>
      </c>
      <c r="J270" t="s">
        <v>284</v>
      </c>
      <c r="K270" t="s">
        <v>582</v>
      </c>
    </row>
    <row r="271" spans="1:11" x14ac:dyDescent="0.35">
      <c r="A271" t="s">
        <v>44</v>
      </c>
      <c r="B271" t="s">
        <v>332</v>
      </c>
      <c r="C271">
        <v>2336.0100000000002</v>
      </c>
      <c r="D271" t="s">
        <v>393</v>
      </c>
      <c r="E271">
        <v>5</v>
      </c>
      <c r="F271" t="s">
        <v>399</v>
      </c>
      <c r="G271" t="s">
        <v>403</v>
      </c>
      <c r="H271" t="s">
        <v>408</v>
      </c>
      <c r="I271" t="s">
        <v>410</v>
      </c>
      <c r="J271" t="s">
        <v>284</v>
      </c>
      <c r="K271" t="s">
        <v>583</v>
      </c>
    </row>
    <row r="272" spans="1:11" x14ac:dyDescent="0.35">
      <c r="A272" t="s">
        <v>69</v>
      </c>
      <c r="B272" t="s">
        <v>379</v>
      </c>
      <c r="C272">
        <v>1095.6199999999999</v>
      </c>
      <c r="D272" t="s">
        <v>394</v>
      </c>
      <c r="E272">
        <v>5</v>
      </c>
      <c r="F272" t="s">
        <v>398</v>
      </c>
      <c r="G272" t="s">
        <v>402</v>
      </c>
      <c r="H272" t="s">
        <v>408</v>
      </c>
      <c r="I272" t="s">
        <v>410</v>
      </c>
      <c r="J272" t="s">
        <v>352</v>
      </c>
      <c r="K272" t="s">
        <v>582</v>
      </c>
    </row>
    <row r="273" spans="1:11" x14ac:dyDescent="0.35">
      <c r="A273" t="s">
        <v>22</v>
      </c>
      <c r="B273" t="s">
        <v>248</v>
      </c>
      <c r="C273">
        <v>4729.67</v>
      </c>
      <c r="D273" t="s">
        <v>393</v>
      </c>
      <c r="E273">
        <v>5</v>
      </c>
      <c r="F273" t="s">
        <v>397</v>
      </c>
      <c r="G273" t="s">
        <v>402</v>
      </c>
      <c r="H273" t="s">
        <v>408</v>
      </c>
      <c r="I273" t="s">
        <v>410</v>
      </c>
      <c r="J273" t="s">
        <v>253</v>
      </c>
      <c r="K273" t="s">
        <v>582</v>
      </c>
    </row>
    <row r="274" spans="1:11" x14ac:dyDescent="0.35">
      <c r="A274" t="s">
        <v>90</v>
      </c>
      <c r="B274" t="s">
        <v>240</v>
      </c>
      <c r="C274">
        <v>1925.51</v>
      </c>
      <c r="D274" t="s">
        <v>392</v>
      </c>
      <c r="E274">
        <v>3</v>
      </c>
      <c r="F274" t="s">
        <v>398</v>
      </c>
      <c r="G274" t="s">
        <v>403</v>
      </c>
      <c r="H274" t="s">
        <v>406</v>
      </c>
      <c r="I274" t="s">
        <v>409</v>
      </c>
      <c r="J274" t="s">
        <v>253</v>
      </c>
      <c r="K274" t="s">
        <v>582</v>
      </c>
    </row>
    <row r="275" spans="1:11" x14ac:dyDescent="0.35">
      <c r="A275" t="s">
        <v>168</v>
      </c>
      <c r="B275" t="s">
        <v>292</v>
      </c>
      <c r="C275">
        <v>116.25</v>
      </c>
      <c r="D275" t="s">
        <v>394</v>
      </c>
      <c r="E275">
        <v>1</v>
      </c>
      <c r="F275" t="s">
        <v>401</v>
      </c>
      <c r="G275" t="s">
        <v>403</v>
      </c>
      <c r="H275" t="s">
        <v>408</v>
      </c>
      <c r="I275" t="s">
        <v>409</v>
      </c>
      <c r="J275" t="s">
        <v>253</v>
      </c>
      <c r="K275" t="s">
        <v>582</v>
      </c>
    </row>
    <row r="276" spans="1:11" x14ac:dyDescent="0.35">
      <c r="A276" t="s">
        <v>16</v>
      </c>
      <c r="B276" t="s">
        <v>338</v>
      </c>
      <c r="C276">
        <v>4916.3500000000004</v>
      </c>
      <c r="D276" t="s">
        <v>396</v>
      </c>
      <c r="E276">
        <v>4</v>
      </c>
      <c r="F276" t="s">
        <v>398</v>
      </c>
      <c r="G276" t="s">
        <v>402</v>
      </c>
      <c r="H276" t="s">
        <v>408</v>
      </c>
      <c r="I276" t="s">
        <v>410</v>
      </c>
      <c r="J276" t="s">
        <v>253</v>
      </c>
      <c r="K276" t="s">
        <v>582</v>
      </c>
    </row>
    <row r="277" spans="1:11" x14ac:dyDescent="0.35">
      <c r="A277" t="s">
        <v>33</v>
      </c>
      <c r="B277" t="s">
        <v>215</v>
      </c>
      <c r="C277">
        <v>1191.8</v>
      </c>
      <c r="D277" t="s">
        <v>395</v>
      </c>
      <c r="E277">
        <v>5</v>
      </c>
      <c r="F277" t="s">
        <v>399</v>
      </c>
      <c r="G277" t="s">
        <v>402</v>
      </c>
      <c r="H277" t="s">
        <v>406</v>
      </c>
      <c r="I277" t="s">
        <v>410</v>
      </c>
      <c r="J277" t="s">
        <v>259</v>
      </c>
      <c r="K277" t="s">
        <v>583</v>
      </c>
    </row>
    <row r="278" spans="1:11" x14ac:dyDescent="0.35">
      <c r="A278" t="s">
        <v>73</v>
      </c>
      <c r="B278" t="s">
        <v>261</v>
      </c>
      <c r="C278">
        <v>2765.07</v>
      </c>
      <c r="D278" t="s">
        <v>392</v>
      </c>
      <c r="E278">
        <v>1</v>
      </c>
      <c r="F278" t="s">
        <v>398</v>
      </c>
      <c r="G278" t="s">
        <v>402</v>
      </c>
      <c r="H278" t="s">
        <v>407</v>
      </c>
      <c r="I278" t="s">
        <v>409</v>
      </c>
      <c r="J278" t="s">
        <v>303</v>
      </c>
      <c r="K278" t="s">
        <v>583</v>
      </c>
    </row>
    <row r="279" spans="1:11" x14ac:dyDescent="0.35">
      <c r="A279" t="s">
        <v>96</v>
      </c>
      <c r="B279" t="s">
        <v>301</v>
      </c>
      <c r="C279">
        <v>4620.18</v>
      </c>
      <c r="D279" t="s">
        <v>393</v>
      </c>
      <c r="E279">
        <v>5</v>
      </c>
      <c r="F279" t="s">
        <v>401</v>
      </c>
      <c r="G279" t="s">
        <v>403</v>
      </c>
      <c r="H279" t="s">
        <v>405</v>
      </c>
      <c r="I279" t="s">
        <v>409</v>
      </c>
      <c r="J279" t="s">
        <v>303</v>
      </c>
      <c r="K279" t="s">
        <v>582</v>
      </c>
    </row>
    <row r="280" spans="1:11" x14ac:dyDescent="0.35">
      <c r="A280" t="s">
        <v>165</v>
      </c>
      <c r="B280" t="s">
        <v>308</v>
      </c>
      <c r="C280">
        <v>1157.52</v>
      </c>
      <c r="D280" t="s">
        <v>393</v>
      </c>
      <c r="E280">
        <v>4</v>
      </c>
      <c r="F280" t="s">
        <v>397</v>
      </c>
      <c r="G280" t="s">
        <v>402</v>
      </c>
      <c r="H280" t="s">
        <v>407</v>
      </c>
      <c r="I280" t="s">
        <v>410</v>
      </c>
      <c r="J280" t="s">
        <v>213</v>
      </c>
      <c r="K280" t="s">
        <v>582</v>
      </c>
    </row>
    <row r="281" spans="1:11" x14ac:dyDescent="0.35">
      <c r="A281" t="s">
        <v>159</v>
      </c>
      <c r="B281" t="s">
        <v>348</v>
      </c>
      <c r="C281">
        <v>568.16999999999996</v>
      </c>
      <c r="D281" t="s">
        <v>392</v>
      </c>
      <c r="E281">
        <v>4</v>
      </c>
      <c r="F281" t="s">
        <v>400</v>
      </c>
      <c r="G281" t="s">
        <v>402</v>
      </c>
      <c r="H281" t="s">
        <v>405</v>
      </c>
      <c r="I281" t="s">
        <v>409</v>
      </c>
      <c r="J281" t="s">
        <v>213</v>
      </c>
      <c r="K281" t="s">
        <v>582</v>
      </c>
    </row>
    <row r="282" spans="1:11" x14ac:dyDescent="0.35">
      <c r="A282" t="s">
        <v>67</v>
      </c>
      <c r="B282" t="s">
        <v>317</v>
      </c>
      <c r="C282">
        <v>3923.73</v>
      </c>
      <c r="D282" t="s">
        <v>395</v>
      </c>
      <c r="E282">
        <v>3</v>
      </c>
      <c r="F282" t="s">
        <v>397</v>
      </c>
      <c r="G282" t="s">
        <v>402</v>
      </c>
      <c r="H282" t="s">
        <v>405</v>
      </c>
      <c r="I282" t="s">
        <v>409</v>
      </c>
      <c r="J282" t="s">
        <v>213</v>
      </c>
      <c r="K282" t="s">
        <v>583</v>
      </c>
    </row>
    <row r="283" spans="1:11" x14ac:dyDescent="0.35">
      <c r="A283" t="s">
        <v>22</v>
      </c>
      <c r="B283" t="s">
        <v>256</v>
      </c>
      <c r="C283">
        <v>1813.24</v>
      </c>
      <c r="D283" t="s">
        <v>391</v>
      </c>
      <c r="E283">
        <v>2</v>
      </c>
      <c r="F283" t="s">
        <v>400</v>
      </c>
      <c r="G283" t="s">
        <v>403</v>
      </c>
      <c r="H283" t="s">
        <v>406</v>
      </c>
      <c r="I283" t="s">
        <v>410</v>
      </c>
      <c r="J283" t="s">
        <v>213</v>
      </c>
      <c r="K283" t="s">
        <v>582</v>
      </c>
    </row>
    <row r="284" spans="1:11" x14ac:dyDescent="0.35">
      <c r="A284" t="s">
        <v>34</v>
      </c>
      <c r="B284" t="s">
        <v>215</v>
      </c>
      <c r="C284">
        <v>2591.3000000000002</v>
      </c>
      <c r="D284" t="s">
        <v>391</v>
      </c>
      <c r="E284">
        <v>4</v>
      </c>
      <c r="F284" t="s">
        <v>401</v>
      </c>
      <c r="G284" t="s">
        <v>402</v>
      </c>
      <c r="H284" t="s">
        <v>406</v>
      </c>
      <c r="I284" t="s">
        <v>409</v>
      </c>
      <c r="J284" t="s">
        <v>347</v>
      </c>
      <c r="K284" t="s">
        <v>582</v>
      </c>
    </row>
    <row r="285" spans="1:11" x14ac:dyDescent="0.35">
      <c r="A285" t="s">
        <v>79</v>
      </c>
      <c r="B285" t="s">
        <v>245</v>
      </c>
      <c r="C285">
        <v>3561.38</v>
      </c>
      <c r="D285" t="s">
        <v>394</v>
      </c>
      <c r="E285">
        <v>3</v>
      </c>
      <c r="F285" t="s">
        <v>397</v>
      </c>
      <c r="G285" t="s">
        <v>403</v>
      </c>
      <c r="H285" t="s">
        <v>405</v>
      </c>
      <c r="I285" t="s">
        <v>410</v>
      </c>
      <c r="J285" t="s">
        <v>347</v>
      </c>
      <c r="K285" t="s">
        <v>582</v>
      </c>
    </row>
    <row r="286" spans="1:11" x14ac:dyDescent="0.35">
      <c r="A286" t="s">
        <v>188</v>
      </c>
      <c r="B286" t="s">
        <v>289</v>
      </c>
      <c r="C286">
        <v>1345.83</v>
      </c>
      <c r="D286" t="s">
        <v>391</v>
      </c>
      <c r="E286">
        <v>4</v>
      </c>
      <c r="F286" t="s">
        <v>401</v>
      </c>
      <c r="G286" t="s">
        <v>403</v>
      </c>
      <c r="H286" t="s">
        <v>406</v>
      </c>
      <c r="I286" t="s">
        <v>409</v>
      </c>
      <c r="J286" t="s">
        <v>347</v>
      </c>
      <c r="K286" t="s">
        <v>582</v>
      </c>
    </row>
    <row r="287" spans="1:11" x14ac:dyDescent="0.35">
      <c r="A287" t="s">
        <v>162</v>
      </c>
      <c r="B287" t="s">
        <v>342</v>
      </c>
      <c r="C287">
        <v>480.31</v>
      </c>
      <c r="D287" t="s">
        <v>393</v>
      </c>
      <c r="E287">
        <v>1</v>
      </c>
      <c r="F287" t="s">
        <v>399</v>
      </c>
      <c r="G287" t="s">
        <v>402</v>
      </c>
      <c r="H287" t="s">
        <v>405</v>
      </c>
      <c r="I287" t="s">
        <v>409</v>
      </c>
      <c r="J287" t="s">
        <v>347</v>
      </c>
      <c r="K287" t="s">
        <v>582</v>
      </c>
    </row>
    <row r="288" spans="1:11" x14ac:dyDescent="0.35">
      <c r="A288" t="s">
        <v>48</v>
      </c>
      <c r="B288" t="s">
        <v>241</v>
      </c>
      <c r="C288">
        <v>4961.71</v>
      </c>
      <c r="D288" t="s">
        <v>391</v>
      </c>
      <c r="E288">
        <v>2</v>
      </c>
      <c r="F288" t="s">
        <v>400</v>
      </c>
      <c r="G288" t="s">
        <v>403</v>
      </c>
      <c r="H288" t="s">
        <v>408</v>
      </c>
      <c r="I288" t="s">
        <v>409</v>
      </c>
      <c r="J288" t="s">
        <v>347</v>
      </c>
      <c r="K288" t="s">
        <v>583</v>
      </c>
    </row>
    <row r="289" spans="1:11" x14ac:dyDescent="0.35">
      <c r="A289" t="s">
        <v>131</v>
      </c>
      <c r="B289" t="s">
        <v>343</v>
      </c>
      <c r="C289">
        <v>2212.15</v>
      </c>
      <c r="D289" t="s">
        <v>392</v>
      </c>
      <c r="E289">
        <v>1</v>
      </c>
      <c r="F289" t="s">
        <v>399</v>
      </c>
      <c r="G289" t="s">
        <v>403</v>
      </c>
      <c r="H289" t="s">
        <v>405</v>
      </c>
      <c r="I289" t="s">
        <v>410</v>
      </c>
      <c r="J289" t="s">
        <v>330</v>
      </c>
      <c r="K289" t="s">
        <v>582</v>
      </c>
    </row>
    <row r="290" spans="1:11" x14ac:dyDescent="0.35">
      <c r="A290" t="s">
        <v>106</v>
      </c>
      <c r="B290" t="s">
        <v>305</v>
      </c>
      <c r="C290">
        <v>1941.07</v>
      </c>
      <c r="D290" t="s">
        <v>391</v>
      </c>
      <c r="E290">
        <v>3</v>
      </c>
      <c r="F290" t="s">
        <v>399</v>
      </c>
      <c r="G290" t="s">
        <v>403</v>
      </c>
      <c r="H290" t="s">
        <v>404</v>
      </c>
      <c r="I290" t="s">
        <v>410</v>
      </c>
      <c r="J290" t="s">
        <v>363</v>
      </c>
      <c r="K290" t="s">
        <v>582</v>
      </c>
    </row>
    <row r="291" spans="1:11" x14ac:dyDescent="0.35">
      <c r="A291" t="s">
        <v>150</v>
      </c>
      <c r="B291" t="s">
        <v>257</v>
      </c>
      <c r="C291">
        <v>4455.7700000000004</v>
      </c>
      <c r="D291" t="s">
        <v>395</v>
      </c>
      <c r="E291">
        <v>2</v>
      </c>
      <c r="F291" t="s">
        <v>397</v>
      </c>
      <c r="G291" t="s">
        <v>402</v>
      </c>
      <c r="H291" t="s">
        <v>406</v>
      </c>
      <c r="I291" t="s">
        <v>409</v>
      </c>
      <c r="J291" t="s">
        <v>363</v>
      </c>
      <c r="K291" t="s">
        <v>582</v>
      </c>
    </row>
    <row r="292" spans="1:11" x14ac:dyDescent="0.35">
      <c r="A292" t="s">
        <v>45</v>
      </c>
      <c r="B292" t="s">
        <v>247</v>
      </c>
      <c r="C292">
        <v>4290.3599999999997</v>
      </c>
      <c r="D292" t="s">
        <v>394</v>
      </c>
      <c r="E292">
        <v>4</v>
      </c>
      <c r="F292" t="s">
        <v>399</v>
      </c>
      <c r="G292" t="s">
        <v>402</v>
      </c>
      <c r="H292" t="s">
        <v>404</v>
      </c>
      <c r="I292" t="s">
        <v>410</v>
      </c>
      <c r="J292" t="s">
        <v>363</v>
      </c>
      <c r="K292" t="s">
        <v>583</v>
      </c>
    </row>
    <row r="293" spans="1:11" x14ac:dyDescent="0.35">
      <c r="A293" t="s">
        <v>157</v>
      </c>
      <c r="B293" t="s">
        <v>227</v>
      </c>
      <c r="C293">
        <v>1105.43</v>
      </c>
      <c r="D293" t="s">
        <v>392</v>
      </c>
      <c r="E293">
        <v>4</v>
      </c>
      <c r="F293" t="s">
        <v>399</v>
      </c>
      <c r="G293" t="s">
        <v>403</v>
      </c>
      <c r="H293" t="s">
        <v>405</v>
      </c>
      <c r="I293" t="s">
        <v>409</v>
      </c>
      <c r="J293" t="s">
        <v>363</v>
      </c>
      <c r="K293" t="s">
        <v>583</v>
      </c>
    </row>
    <row r="294" spans="1:11" x14ac:dyDescent="0.35">
      <c r="A294" t="s">
        <v>89</v>
      </c>
      <c r="B294" t="s">
        <v>342</v>
      </c>
      <c r="C294">
        <v>438.67</v>
      </c>
      <c r="D294" t="s">
        <v>391</v>
      </c>
      <c r="E294">
        <v>1</v>
      </c>
      <c r="F294" t="s">
        <v>397</v>
      </c>
      <c r="G294" t="s">
        <v>402</v>
      </c>
      <c r="H294" t="s">
        <v>405</v>
      </c>
      <c r="I294" t="s">
        <v>409</v>
      </c>
      <c r="J294" t="s">
        <v>252</v>
      </c>
      <c r="K294" t="s">
        <v>583</v>
      </c>
    </row>
    <row r="295" spans="1:11" x14ac:dyDescent="0.35">
      <c r="A295" t="s">
        <v>11</v>
      </c>
      <c r="B295" t="s">
        <v>270</v>
      </c>
      <c r="C295">
        <v>2478.89</v>
      </c>
      <c r="D295" t="s">
        <v>396</v>
      </c>
      <c r="E295">
        <v>2</v>
      </c>
      <c r="F295" t="s">
        <v>399</v>
      </c>
      <c r="G295" t="s">
        <v>403</v>
      </c>
      <c r="H295" t="s">
        <v>408</v>
      </c>
      <c r="I295" t="s">
        <v>409</v>
      </c>
      <c r="J295" t="s">
        <v>252</v>
      </c>
      <c r="K295" t="s">
        <v>583</v>
      </c>
    </row>
    <row r="296" spans="1:11" x14ac:dyDescent="0.35">
      <c r="A296" t="s">
        <v>54</v>
      </c>
      <c r="B296" t="s">
        <v>222</v>
      </c>
      <c r="C296">
        <v>763.02</v>
      </c>
      <c r="D296" t="s">
        <v>394</v>
      </c>
      <c r="E296">
        <v>2</v>
      </c>
      <c r="F296" t="s">
        <v>400</v>
      </c>
      <c r="G296" t="s">
        <v>403</v>
      </c>
      <c r="H296" t="s">
        <v>404</v>
      </c>
      <c r="I296" t="s">
        <v>409</v>
      </c>
      <c r="J296" t="s">
        <v>349</v>
      </c>
      <c r="K296" t="s">
        <v>582</v>
      </c>
    </row>
    <row r="297" spans="1:11" x14ac:dyDescent="0.35">
      <c r="A297" t="s">
        <v>44</v>
      </c>
      <c r="B297" t="s">
        <v>302</v>
      </c>
      <c r="C297">
        <v>149.88999999999999</v>
      </c>
      <c r="D297" t="s">
        <v>393</v>
      </c>
      <c r="E297">
        <v>2</v>
      </c>
      <c r="F297" t="s">
        <v>398</v>
      </c>
      <c r="G297" t="s">
        <v>403</v>
      </c>
      <c r="H297" t="s">
        <v>407</v>
      </c>
      <c r="I297" t="s">
        <v>409</v>
      </c>
      <c r="J297" t="s">
        <v>349</v>
      </c>
      <c r="K297" t="s">
        <v>583</v>
      </c>
    </row>
    <row r="298" spans="1:11" x14ac:dyDescent="0.35">
      <c r="A298" t="s">
        <v>90</v>
      </c>
      <c r="B298" t="s">
        <v>370</v>
      </c>
      <c r="C298">
        <v>4873.6000000000004</v>
      </c>
      <c r="D298" t="s">
        <v>394</v>
      </c>
      <c r="E298">
        <v>3</v>
      </c>
      <c r="F298" t="s">
        <v>398</v>
      </c>
      <c r="G298" t="s">
        <v>403</v>
      </c>
      <c r="H298" t="s">
        <v>407</v>
      </c>
      <c r="I298" t="s">
        <v>410</v>
      </c>
      <c r="J298" t="s">
        <v>349</v>
      </c>
      <c r="K298" t="s">
        <v>582</v>
      </c>
    </row>
    <row r="299" spans="1:11" x14ac:dyDescent="0.35">
      <c r="A299" t="s">
        <v>120</v>
      </c>
      <c r="B299" t="s">
        <v>304</v>
      </c>
      <c r="C299">
        <v>4665.6099999999997</v>
      </c>
      <c r="D299" t="s">
        <v>394</v>
      </c>
      <c r="E299">
        <v>1</v>
      </c>
      <c r="F299" t="s">
        <v>401</v>
      </c>
      <c r="G299" t="s">
        <v>403</v>
      </c>
      <c r="H299" t="s">
        <v>404</v>
      </c>
      <c r="I299" t="s">
        <v>409</v>
      </c>
      <c r="J299" t="s">
        <v>349</v>
      </c>
      <c r="K299" t="s">
        <v>582</v>
      </c>
    </row>
    <row r="300" spans="1:11" x14ac:dyDescent="0.35">
      <c r="A300" t="s">
        <v>182</v>
      </c>
      <c r="B300" t="s">
        <v>356</v>
      </c>
      <c r="C300">
        <v>4603.7</v>
      </c>
      <c r="D300" t="s">
        <v>392</v>
      </c>
      <c r="E300">
        <v>2</v>
      </c>
      <c r="F300" t="s">
        <v>400</v>
      </c>
      <c r="G300" t="s">
        <v>402</v>
      </c>
      <c r="H300" t="s">
        <v>408</v>
      </c>
      <c r="I300" t="s">
        <v>409</v>
      </c>
      <c r="J300" t="s">
        <v>349</v>
      </c>
      <c r="K300" t="s">
        <v>582</v>
      </c>
    </row>
    <row r="301" spans="1:11" x14ac:dyDescent="0.35">
      <c r="A301" t="s">
        <v>143</v>
      </c>
      <c r="B301" t="s">
        <v>356</v>
      </c>
      <c r="C301">
        <v>1586.38</v>
      </c>
      <c r="D301" t="s">
        <v>392</v>
      </c>
      <c r="E301">
        <v>4</v>
      </c>
      <c r="F301" t="s">
        <v>401</v>
      </c>
      <c r="G301" t="s">
        <v>403</v>
      </c>
      <c r="H301" t="s">
        <v>405</v>
      </c>
      <c r="I301" t="s">
        <v>410</v>
      </c>
      <c r="J301" t="s">
        <v>349</v>
      </c>
      <c r="K301" t="s">
        <v>583</v>
      </c>
    </row>
    <row r="302" spans="1:11" x14ac:dyDescent="0.35">
      <c r="A302" t="s">
        <v>45</v>
      </c>
      <c r="B302" t="s">
        <v>311</v>
      </c>
      <c r="C302">
        <v>358.24</v>
      </c>
      <c r="D302" t="s">
        <v>392</v>
      </c>
      <c r="E302">
        <v>2</v>
      </c>
      <c r="F302" t="s">
        <v>398</v>
      </c>
      <c r="G302" t="s">
        <v>403</v>
      </c>
      <c r="H302" t="s">
        <v>407</v>
      </c>
      <c r="I302" t="s">
        <v>409</v>
      </c>
      <c r="J302" t="s">
        <v>277</v>
      </c>
      <c r="K302" t="s">
        <v>582</v>
      </c>
    </row>
    <row r="303" spans="1:11" x14ac:dyDescent="0.35">
      <c r="A303" t="s">
        <v>66</v>
      </c>
      <c r="B303" t="s">
        <v>219</v>
      </c>
      <c r="C303">
        <v>3333.59</v>
      </c>
      <c r="D303" t="s">
        <v>395</v>
      </c>
      <c r="E303">
        <v>4</v>
      </c>
      <c r="F303" t="s">
        <v>398</v>
      </c>
      <c r="G303" t="s">
        <v>402</v>
      </c>
      <c r="H303" t="s">
        <v>404</v>
      </c>
      <c r="I303" t="s">
        <v>409</v>
      </c>
      <c r="J303" t="s">
        <v>277</v>
      </c>
      <c r="K303" t="s">
        <v>582</v>
      </c>
    </row>
    <row r="304" spans="1:11" x14ac:dyDescent="0.35">
      <c r="A304" t="s">
        <v>58</v>
      </c>
      <c r="B304" t="s">
        <v>215</v>
      </c>
      <c r="C304">
        <v>1059.28</v>
      </c>
      <c r="D304" t="s">
        <v>396</v>
      </c>
      <c r="E304">
        <v>1</v>
      </c>
      <c r="F304" t="s">
        <v>401</v>
      </c>
      <c r="G304" t="s">
        <v>402</v>
      </c>
      <c r="H304" t="s">
        <v>408</v>
      </c>
      <c r="I304" t="s">
        <v>409</v>
      </c>
      <c r="J304" t="s">
        <v>277</v>
      </c>
      <c r="K304" t="s">
        <v>583</v>
      </c>
    </row>
    <row r="305" spans="1:11" x14ac:dyDescent="0.35">
      <c r="A305" t="s">
        <v>82</v>
      </c>
      <c r="B305" t="s">
        <v>302</v>
      </c>
      <c r="C305">
        <v>2595.41</v>
      </c>
      <c r="D305" t="s">
        <v>393</v>
      </c>
      <c r="E305">
        <v>1</v>
      </c>
      <c r="F305" t="s">
        <v>400</v>
      </c>
      <c r="G305" t="s">
        <v>403</v>
      </c>
      <c r="H305" t="s">
        <v>407</v>
      </c>
      <c r="I305" t="s">
        <v>410</v>
      </c>
      <c r="J305" t="s">
        <v>277</v>
      </c>
      <c r="K305" t="s">
        <v>582</v>
      </c>
    </row>
    <row r="306" spans="1:11" x14ac:dyDescent="0.35">
      <c r="A306" t="s">
        <v>61</v>
      </c>
      <c r="B306" t="s">
        <v>334</v>
      </c>
      <c r="C306">
        <v>2975.27</v>
      </c>
      <c r="D306" t="s">
        <v>394</v>
      </c>
      <c r="E306">
        <v>2</v>
      </c>
      <c r="F306" t="s">
        <v>397</v>
      </c>
      <c r="G306" t="s">
        <v>402</v>
      </c>
      <c r="H306" t="s">
        <v>407</v>
      </c>
      <c r="I306" t="s">
        <v>410</v>
      </c>
      <c r="J306" t="s">
        <v>277</v>
      </c>
      <c r="K306" t="s">
        <v>583</v>
      </c>
    </row>
    <row r="307" spans="1:11" x14ac:dyDescent="0.35">
      <c r="A307" t="s">
        <v>12</v>
      </c>
      <c r="B307" t="s">
        <v>287</v>
      </c>
      <c r="C307">
        <v>3170.53</v>
      </c>
      <c r="D307" t="s">
        <v>393</v>
      </c>
      <c r="E307">
        <v>2</v>
      </c>
      <c r="F307" t="s">
        <v>400</v>
      </c>
      <c r="G307" t="s">
        <v>403</v>
      </c>
      <c r="H307" t="s">
        <v>404</v>
      </c>
      <c r="I307" t="s">
        <v>409</v>
      </c>
      <c r="J307" t="s">
        <v>277</v>
      </c>
      <c r="K307" t="s">
        <v>583</v>
      </c>
    </row>
    <row r="308" spans="1:11" x14ac:dyDescent="0.35">
      <c r="A308" t="s">
        <v>52</v>
      </c>
      <c r="B308" t="s">
        <v>251</v>
      </c>
      <c r="C308">
        <v>202.37</v>
      </c>
      <c r="D308" t="s">
        <v>393</v>
      </c>
      <c r="E308">
        <v>4</v>
      </c>
      <c r="F308" t="s">
        <v>400</v>
      </c>
      <c r="G308" t="s">
        <v>402</v>
      </c>
      <c r="H308" t="s">
        <v>407</v>
      </c>
      <c r="I308" t="s">
        <v>410</v>
      </c>
      <c r="J308" t="s">
        <v>371</v>
      </c>
      <c r="K308" t="s">
        <v>583</v>
      </c>
    </row>
    <row r="309" spans="1:11" x14ac:dyDescent="0.35">
      <c r="A309" t="s">
        <v>24</v>
      </c>
      <c r="B309" t="s">
        <v>222</v>
      </c>
      <c r="C309">
        <v>1260</v>
      </c>
      <c r="D309" t="s">
        <v>391</v>
      </c>
      <c r="E309">
        <v>1</v>
      </c>
      <c r="F309" t="s">
        <v>400</v>
      </c>
      <c r="G309" t="s">
        <v>402</v>
      </c>
      <c r="H309" t="s">
        <v>405</v>
      </c>
      <c r="I309" t="s">
        <v>409</v>
      </c>
      <c r="J309" t="s">
        <v>246</v>
      </c>
      <c r="K309" t="s">
        <v>583</v>
      </c>
    </row>
    <row r="310" spans="1:11" x14ac:dyDescent="0.35">
      <c r="A310" t="s">
        <v>57</v>
      </c>
      <c r="B310" t="s">
        <v>331</v>
      </c>
      <c r="C310">
        <v>2982.92</v>
      </c>
      <c r="D310" t="s">
        <v>394</v>
      </c>
      <c r="E310">
        <v>2</v>
      </c>
      <c r="F310" t="s">
        <v>401</v>
      </c>
      <c r="G310" t="s">
        <v>402</v>
      </c>
      <c r="H310" t="s">
        <v>405</v>
      </c>
      <c r="I310" t="s">
        <v>409</v>
      </c>
      <c r="J310" t="s">
        <v>246</v>
      </c>
      <c r="K310" t="s">
        <v>582</v>
      </c>
    </row>
    <row r="311" spans="1:11" x14ac:dyDescent="0.35">
      <c r="A311" t="s">
        <v>89</v>
      </c>
      <c r="B311" t="s">
        <v>253</v>
      </c>
      <c r="C311">
        <v>2964.02</v>
      </c>
      <c r="D311" t="s">
        <v>392</v>
      </c>
      <c r="E311">
        <v>2</v>
      </c>
      <c r="F311" t="s">
        <v>397</v>
      </c>
      <c r="G311" t="s">
        <v>403</v>
      </c>
      <c r="H311" t="s">
        <v>405</v>
      </c>
      <c r="I311" t="s">
        <v>410</v>
      </c>
      <c r="J311" t="s">
        <v>246</v>
      </c>
      <c r="K311" t="s">
        <v>583</v>
      </c>
    </row>
    <row r="312" spans="1:11" x14ac:dyDescent="0.35">
      <c r="A312" t="s">
        <v>79</v>
      </c>
      <c r="B312" t="s">
        <v>288</v>
      </c>
      <c r="C312">
        <v>715.38</v>
      </c>
      <c r="D312" t="s">
        <v>393</v>
      </c>
      <c r="E312">
        <v>4</v>
      </c>
      <c r="F312" t="s">
        <v>400</v>
      </c>
      <c r="G312" t="s">
        <v>403</v>
      </c>
      <c r="H312" t="s">
        <v>405</v>
      </c>
      <c r="I312" t="s">
        <v>410</v>
      </c>
      <c r="J312" t="s">
        <v>246</v>
      </c>
      <c r="K312" t="s">
        <v>583</v>
      </c>
    </row>
    <row r="313" spans="1:11" x14ac:dyDescent="0.35">
      <c r="A313" t="s">
        <v>26</v>
      </c>
      <c r="B313" t="s">
        <v>254</v>
      </c>
      <c r="C313">
        <v>1367.74</v>
      </c>
      <c r="D313" t="s">
        <v>396</v>
      </c>
      <c r="E313">
        <v>2</v>
      </c>
      <c r="F313" t="s">
        <v>401</v>
      </c>
      <c r="G313" t="s">
        <v>403</v>
      </c>
      <c r="H313" t="s">
        <v>406</v>
      </c>
      <c r="I313" t="s">
        <v>409</v>
      </c>
      <c r="J313" t="s">
        <v>246</v>
      </c>
      <c r="K313" t="s">
        <v>583</v>
      </c>
    </row>
    <row r="314" spans="1:11" x14ac:dyDescent="0.35">
      <c r="A314" t="s">
        <v>176</v>
      </c>
      <c r="B314" t="s">
        <v>313</v>
      </c>
      <c r="C314">
        <v>2123.31</v>
      </c>
      <c r="D314" t="s">
        <v>396</v>
      </c>
      <c r="E314">
        <v>1</v>
      </c>
      <c r="F314" t="s">
        <v>399</v>
      </c>
      <c r="G314" t="s">
        <v>403</v>
      </c>
      <c r="H314" t="s">
        <v>404</v>
      </c>
      <c r="I314" t="s">
        <v>409</v>
      </c>
      <c r="J314" t="s">
        <v>246</v>
      </c>
      <c r="K314" t="s">
        <v>582</v>
      </c>
    </row>
    <row r="315" spans="1:11" x14ac:dyDescent="0.35">
      <c r="A315" t="s">
        <v>146</v>
      </c>
      <c r="B315" t="s">
        <v>299</v>
      </c>
      <c r="C315">
        <v>2940.39</v>
      </c>
      <c r="D315" t="s">
        <v>394</v>
      </c>
      <c r="E315">
        <v>1</v>
      </c>
      <c r="F315" t="s">
        <v>398</v>
      </c>
      <c r="G315" t="s">
        <v>402</v>
      </c>
      <c r="H315" t="s">
        <v>408</v>
      </c>
      <c r="I315" t="s">
        <v>410</v>
      </c>
      <c r="J315" t="s">
        <v>265</v>
      </c>
      <c r="K315" t="s">
        <v>582</v>
      </c>
    </row>
    <row r="316" spans="1:11" x14ac:dyDescent="0.35">
      <c r="A316" t="s">
        <v>115</v>
      </c>
      <c r="B316" t="s">
        <v>306</v>
      </c>
      <c r="C316">
        <v>4159.82</v>
      </c>
      <c r="D316" t="s">
        <v>395</v>
      </c>
      <c r="E316">
        <v>3</v>
      </c>
      <c r="F316" t="s">
        <v>399</v>
      </c>
      <c r="G316" t="s">
        <v>403</v>
      </c>
      <c r="H316" t="s">
        <v>407</v>
      </c>
      <c r="I316" t="s">
        <v>410</v>
      </c>
      <c r="J316" t="s">
        <v>265</v>
      </c>
      <c r="K316" t="s">
        <v>583</v>
      </c>
    </row>
    <row r="317" spans="1:11" x14ac:dyDescent="0.35">
      <c r="A317" t="s">
        <v>65</v>
      </c>
      <c r="B317" t="s">
        <v>261</v>
      </c>
      <c r="C317">
        <v>4737.54</v>
      </c>
      <c r="D317" t="s">
        <v>396</v>
      </c>
      <c r="E317">
        <v>3</v>
      </c>
      <c r="F317" t="s">
        <v>400</v>
      </c>
      <c r="G317" t="s">
        <v>402</v>
      </c>
      <c r="H317" t="s">
        <v>408</v>
      </c>
      <c r="I317" t="s">
        <v>409</v>
      </c>
      <c r="J317" t="s">
        <v>290</v>
      </c>
      <c r="K317" t="s">
        <v>582</v>
      </c>
    </row>
    <row r="318" spans="1:11" x14ac:dyDescent="0.35">
      <c r="A318" t="s">
        <v>198</v>
      </c>
      <c r="B318" t="s">
        <v>250</v>
      </c>
      <c r="C318">
        <v>4000.96</v>
      </c>
      <c r="D318" t="s">
        <v>391</v>
      </c>
      <c r="E318">
        <v>4</v>
      </c>
      <c r="F318" t="s">
        <v>399</v>
      </c>
      <c r="G318" t="s">
        <v>403</v>
      </c>
      <c r="H318" t="s">
        <v>404</v>
      </c>
      <c r="I318" t="s">
        <v>409</v>
      </c>
      <c r="J318" t="s">
        <v>290</v>
      </c>
      <c r="K318" t="s">
        <v>583</v>
      </c>
    </row>
    <row r="319" spans="1:11" x14ac:dyDescent="0.35">
      <c r="A319" t="s">
        <v>137</v>
      </c>
      <c r="B319" t="s">
        <v>357</v>
      </c>
      <c r="C319">
        <v>1454.31</v>
      </c>
      <c r="D319" t="s">
        <v>395</v>
      </c>
      <c r="E319">
        <v>5</v>
      </c>
      <c r="F319" t="s">
        <v>399</v>
      </c>
      <c r="G319" t="s">
        <v>402</v>
      </c>
      <c r="H319" t="s">
        <v>408</v>
      </c>
      <c r="I319" t="s">
        <v>409</v>
      </c>
      <c r="J319" t="s">
        <v>290</v>
      </c>
      <c r="K319" t="s">
        <v>582</v>
      </c>
    </row>
    <row r="320" spans="1:11" x14ac:dyDescent="0.35">
      <c r="A320" t="s">
        <v>145</v>
      </c>
      <c r="B320" t="s">
        <v>327</v>
      </c>
      <c r="C320">
        <v>2810.71</v>
      </c>
      <c r="D320" t="s">
        <v>392</v>
      </c>
      <c r="E320">
        <v>5</v>
      </c>
      <c r="F320" t="s">
        <v>400</v>
      </c>
      <c r="G320" t="s">
        <v>403</v>
      </c>
      <c r="H320" t="s">
        <v>406</v>
      </c>
      <c r="I320" t="s">
        <v>410</v>
      </c>
      <c r="J320" t="s">
        <v>290</v>
      </c>
      <c r="K320" t="s">
        <v>583</v>
      </c>
    </row>
    <row r="321" spans="1:11" x14ac:dyDescent="0.35">
      <c r="A321" t="s">
        <v>187</v>
      </c>
      <c r="B321" t="s">
        <v>350</v>
      </c>
      <c r="C321">
        <v>3468.88</v>
      </c>
      <c r="D321" t="s">
        <v>392</v>
      </c>
      <c r="E321">
        <v>1</v>
      </c>
      <c r="F321" t="s">
        <v>401</v>
      </c>
      <c r="G321" t="s">
        <v>402</v>
      </c>
      <c r="H321" t="s">
        <v>408</v>
      </c>
      <c r="I321" t="s">
        <v>409</v>
      </c>
      <c r="J321" t="s">
        <v>290</v>
      </c>
      <c r="K321" t="s">
        <v>583</v>
      </c>
    </row>
    <row r="322" spans="1:11" x14ac:dyDescent="0.35">
      <c r="A322" t="s">
        <v>47</v>
      </c>
      <c r="B322" t="s">
        <v>244</v>
      </c>
      <c r="C322">
        <v>3612.65</v>
      </c>
      <c r="D322" t="s">
        <v>394</v>
      </c>
      <c r="E322">
        <v>1</v>
      </c>
      <c r="F322" t="s">
        <v>397</v>
      </c>
      <c r="G322" t="s">
        <v>403</v>
      </c>
      <c r="H322" t="s">
        <v>405</v>
      </c>
      <c r="I322" t="s">
        <v>410</v>
      </c>
      <c r="J322" t="s">
        <v>282</v>
      </c>
      <c r="K322" t="s">
        <v>583</v>
      </c>
    </row>
    <row r="323" spans="1:11" x14ac:dyDescent="0.35">
      <c r="A323" t="s">
        <v>87</v>
      </c>
      <c r="B323" t="s">
        <v>212</v>
      </c>
      <c r="C323">
        <v>322.17</v>
      </c>
      <c r="D323" t="s">
        <v>392</v>
      </c>
      <c r="E323">
        <v>4</v>
      </c>
      <c r="F323" t="s">
        <v>401</v>
      </c>
      <c r="G323" t="s">
        <v>403</v>
      </c>
      <c r="H323" t="s">
        <v>407</v>
      </c>
      <c r="I323" t="s">
        <v>409</v>
      </c>
      <c r="J323" t="s">
        <v>282</v>
      </c>
      <c r="K323" t="s">
        <v>582</v>
      </c>
    </row>
    <row r="324" spans="1:11" x14ac:dyDescent="0.35">
      <c r="A324" t="s">
        <v>111</v>
      </c>
      <c r="B324" t="s">
        <v>336</v>
      </c>
      <c r="C324">
        <v>1285.92</v>
      </c>
      <c r="D324" t="s">
        <v>394</v>
      </c>
      <c r="E324">
        <v>5</v>
      </c>
      <c r="F324" t="s">
        <v>399</v>
      </c>
      <c r="G324" t="s">
        <v>403</v>
      </c>
      <c r="H324" t="s">
        <v>407</v>
      </c>
      <c r="I324" t="s">
        <v>410</v>
      </c>
      <c r="J324" t="s">
        <v>282</v>
      </c>
      <c r="K324" t="s">
        <v>582</v>
      </c>
    </row>
    <row r="325" spans="1:11" x14ac:dyDescent="0.35">
      <c r="A325" t="s">
        <v>154</v>
      </c>
      <c r="B325" t="s">
        <v>314</v>
      </c>
      <c r="C325">
        <v>1829.86</v>
      </c>
      <c r="D325" t="s">
        <v>391</v>
      </c>
      <c r="E325">
        <v>3</v>
      </c>
      <c r="F325" t="s">
        <v>399</v>
      </c>
      <c r="G325" t="s">
        <v>403</v>
      </c>
      <c r="H325" t="s">
        <v>408</v>
      </c>
      <c r="I325" t="s">
        <v>409</v>
      </c>
      <c r="J325" t="s">
        <v>282</v>
      </c>
      <c r="K325" t="s">
        <v>583</v>
      </c>
    </row>
    <row r="326" spans="1:11" x14ac:dyDescent="0.35">
      <c r="A326" t="s">
        <v>22</v>
      </c>
      <c r="B326" t="s">
        <v>237</v>
      </c>
      <c r="C326">
        <v>4096.2700000000004</v>
      </c>
      <c r="D326" t="s">
        <v>393</v>
      </c>
      <c r="E326">
        <v>4</v>
      </c>
      <c r="F326" t="s">
        <v>398</v>
      </c>
      <c r="G326" t="s">
        <v>402</v>
      </c>
      <c r="H326" t="s">
        <v>408</v>
      </c>
      <c r="I326" t="s">
        <v>410</v>
      </c>
      <c r="J326" t="s">
        <v>282</v>
      </c>
      <c r="K326" t="s">
        <v>583</v>
      </c>
    </row>
    <row r="327" spans="1:11" x14ac:dyDescent="0.35">
      <c r="A327" t="s">
        <v>71</v>
      </c>
      <c r="B327" t="s">
        <v>361</v>
      </c>
      <c r="C327">
        <v>4270.47</v>
      </c>
      <c r="D327" t="s">
        <v>391</v>
      </c>
      <c r="E327">
        <v>4</v>
      </c>
      <c r="F327" t="s">
        <v>400</v>
      </c>
      <c r="G327" t="s">
        <v>402</v>
      </c>
      <c r="H327" t="s">
        <v>405</v>
      </c>
      <c r="I327" t="s">
        <v>409</v>
      </c>
      <c r="J327" t="s">
        <v>282</v>
      </c>
      <c r="K327" t="s">
        <v>582</v>
      </c>
    </row>
    <row r="328" spans="1:11" x14ac:dyDescent="0.35">
      <c r="A328" t="s">
        <v>31</v>
      </c>
      <c r="B328" t="s">
        <v>340</v>
      </c>
      <c r="C328">
        <v>2479.35</v>
      </c>
      <c r="D328" t="s">
        <v>391</v>
      </c>
      <c r="E328">
        <v>5</v>
      </c>
      <c r="F328" t="s">
        <v>397</v>
      </c>
      <c r="G328" t="s">
        <v>403</v>
      </c>
      <c r="H328" t="s">
        <v>405</v>
      </c>
      <c r="I328" t="s">
        <v>409</v>
      </c>
      <c r="J328" t="s">
        <v>282</v>
      </c>
      <c r="K328" t="s">
        <v>583</v>
      </c>
    </row>
    <row r="329" spans="1:11" x14ac:dyDescent="0.35">
      <c r="A329" t="s">
        <v>133</v>
      </c>
      <c r="B329" t="s">
        <v>258</v>
      </c>
      <c r="C329">
        <v>355.5</v>
      </c>
      <c r="D329" t="s">
        <v>392</v>
      </c>
      <c r="E329">
        <v>5</v>
      </c>
      <c r="F329" t="s">
        <v>400</v>
      </c>
      <c r="G329" t="s">
        <v>403</v>
      </c>
      <c r="H329" t="s">
        <v>408</v>
      </c>
      <c r="I329" t="s">
        <v>410</v>
      </c>
      <c r="J329" t="s">
        <v>282</v>
      </c>
      <c r="K329" t="s">
        <v>583</v>
      </c>
    </row>
    <row r="330" spans="1:11" x14ac:dyDescent="0.35">
      <c r="A330" t="s">
        <v>186</v>
      </c>
      <c r="B330" t="s">
        <v>250</v>
      </c>
      <c r="C330">
        <v>4565.43</v>
      </c>
      <c r="D330" t="s">
        <v>394</v>
      </c>
      <c r="E330">
        <v>5</v>
      </c>
      <c r="F330" t="s">
        <v>397</v>
      </c>
      <c r="G330" t="s">
        <v>403</v>
      </c>
      <c r="H330" t="s">
        <v>407</v>
      </c>
      <c r="I330" t="s">
        <v>410</v>
      </c>
      <c r="J330" t="s">
        <v>282</v>
      </c>
      <c r="K330" t="s">
        <v>583</v>
      </c>
    </row>
    <row r="331" spans="1:11" x14ac:dyDescent="0.35">
      <c r="A331" t="s">
        <v>40</v>
      </c>
      <c r="B331" t="s">
        <v>364</v>
      </c>
      <c r="C331">
        <v>3983.63</v>
      </c>
      <c r="D331" t="s">
        <v>395</v>
      </c>
      <c r="E331">
        <v>3</v>
      </c>
      <c r="F331" t="s">
        <v>400</v>
      </c>
      <c r="G331" t="s">
        <v>402</v>
      </c>
      <c r="H331" t="s">
        <v>406</v>
      </c>
      <c r="I331" t="s">
        <v>410</v>
      </c>
      <c r="J331" t="s">
        <v>333</v>
      </c>
      <c r="K331" t="s">
        <v>583</v>
      </c>
    </row>
    <row r="332" spans="1:11" x14ac:dyDescent="0.35">
      <c r="A332" t="s">
        <v>166</v>
      </c>
      <c r="B332" t="s">
        <v>276</v>
      </c>
      <c r="C332">
        <v>4680.4399999999996</v>
      </c>
      <c r="D332" t="s">
        <v>391</v>
      </c>
      <c r="E332">
        <v>2</v>
      </c>
      <c r="F332" t="s">
        <v>400</v>
      </c>
      <c r="G332" t="s">
        <v>402</v>
      </c>
      <c r="H332" t="s">
        <v>404</v>
      </c>
      <c r="I332" t="s">
        <v>410</v>
      </c>
      <c r="J332" t="s">
        <v>333</v>
      </c>
      <c r="K332" t="s">
        <v>582</v>
      </c>
    </row>
    <row r="333" spans="1:11" x14ac:dyDescent="0.35">
      <c r="A333" t="s">
        <v>84</v>
      </c>
      <c r="B333" t="s">
        <v>372</v>
      </c>
      <c r="C333">
        <v>4306.91</v>
      </c>
      <c r="D333" t="s">
        <v>393</v>
      </c>
      <c r="E333">
        <v>2</v>
      </c>
      <c r="F333" t="s">
        <v>399</v>
      </c>
      <c r="G333" t="s">
        <v>402</v>
      </c>
      <c r="H333" t="s">
        <v>405</v>
      </c>
      <c r="I333" t="s">
        <v>409</v>
      </c>
      <c r="J333" t="s">
        <v>333</v>
      </c>
      <c r="K333" t="s">
        <v>583</v>
      </c>
    </row>
    <row r="334" spans="1:11" x14ac:dyDescent="0.35">
      <c r="A334" t="s">
        <v>173</v>
      </c>
      <c r="B334" t="s">
        <v>238</v>
      </c>
      <c r="C334">
        <v>3119.83</v>
      </c>
      <c r="D334" t="s">
        <v>391</v>
      </c>
      <c r="E334">
        <v>2</v>
      </c>
      <c r="F334" t="s">
        <v>401</v>
      </c>
      <c r="G334" t="s">
        <v>402</v>
      </c>
      <c r="H334" t="s">
        <v>406</v>
      </c>
      <c r="I334" t="s">
        <v>410</v>
      </c>
      <c r="J334" t="s">
        <v>333</v>
      </c>
      <c r="K334" t="s">
        <v>582</v>
      </c>
    </row>
    <row r="335" spans="1:11" x14ac:dyDescent="0.35">
      <c r="A335" t="s">
        <v>130</v>
      </c>
      <c r="B335" t="s">
        <v>369</v>
      </c>
      <c r="C335">
        <v>358.22</v>
      </c>
      <c r="D335" t="s">
        <v>393</v>
      </c>
      <c r="E335">
        <v>4</v>
      </c>
      <c r="F335" t="s">
        <v>401</v>
      </c>
      <c r="G335" t="s">
        <v>403</v>
      </c>
      <c r="H335" t="s">
        <v>406</v>
      </c>
      <c r="I335" t="s">
        <v>409</v>
      </c>
      <c r="J335" t="s">
        <v>333</v>
      </c>
      <c r="K335" t="s">
        <v>582</v>
      </c>
    </row>
    <row r="336" spans="1:11" x14ac:dyDescent="0.35">
      <c r="A336" t="s">
        <v>190</v>
      </c>
      <c r="B336" t="s">
        <v>330</v>
      </c>
      <c r="C336">
        <v>2227.3000000000002</v>
      </c>
      <c r="D336" t="s">
        <v>391</v>
      </c>
      <c r="E336">
        <v>1</v>
      </c>
      <c r="F336" t="s">
        <v>398</v>
      </c>
      <c r="G336" t="s">
        <v>403</v>
      </c>
      <c r="H336" t="s">
        <v>405</v>
      </c>
      <c r="I336" t="s">
        <v>410</v>
      </c>
      <c r="J336" t="s">
        <v>333</v>
      </c>
      <c r="K336" t="s">
        <v>582</v>
      </c>
    </row>
    <row r="337" spans="1:11" x14ac:dyDescent="0.35">
      <c r="A337" t="s">
        <v>136</v>
      </c>
      <c r="B337" t="s">
        <v>236</v>
      </c>
      <c r="C337">
        <v>4702.42</v>
      </c>
      <c r="D337" t="s">
        <v>391</v>
      </c>
      <c r="E337">
        <v>2</v>
      </c>
      <c r="F337" t="s">
        <v>401</v>
      </c>
      <c r="G337" t="s">
        <v>403</v>
      </c>
      <c r="H337" t="s">
        <v>404</v>
      </c>
      <c r="I337" t="s">
        <v>409</v>
      </c>
      <c r="J337" t="s">
        <v>300</v>
      </c>
      <c r="K337" t="s">
        <v>582</v>
      </c>
    </row>
    <row r="338" spans="1:11" x14ac:dyDescent="0.35">
      <c r="A338" t="s">
        <v>121</v>
      </c>
      <c r="B338" t="s">
        <v>372</v>
      </c>
      <c r="C338">
        <v>921.06</v>
      </c>
      <c r="D338" t="s">
        <v>391</v>
      </c>
      <c r="E338">
        <v>5</v>
      </c>
      <c r="F338" t="s">
        <v>398</v>
      </c>
      <c r="G338" t="s">
        <v>403</v>
      </c>
      <c r="H338" t="s">
        <v>408</v>
      </c>
      <c r="I338" t="s">
        <v>409</v>
      </c>
      <c r="J338" t="s">
        <v>300</v>
      </c>
      <c r="K338" t="s">
        <v>582</v>
      </c>
    </row>
    <row r="339" spans="1:11" x14ac:dyDescent="0.35">
      <c r="A339" t="s">
        <v>81</v>
      </c>
      <c r="B339" t="s">
        <v>299</v>
      </c>
      <c r="C339">
        <v>775.06</v>
      </c>
      <c r="D339" t="s">
        <v>395</v>
      </c>
      <c r="E339">
        <v>3</v>
      </c>
      <c r="F339" t="s">
        <v>401</v>
      </c>
      <c r="G339" t="s">
        <v>403</v>
      </c>
      <c r="H339" t="s">
        <v>408</v>
      </c>
      <c r="I339" t="s">
        <v>410</v>
      </c>
      <c r="J339" t="s">
        <v>300</v>
      </c>
      <c r="K339" t="s">
        <v>582</v>
      </c>
    </row>
    <row r="340" spans="1:11" x14ac:dyDescent="0.35">
      <c r="A340" t="s">
        <v>63</v>
      </c>
      <c r="B340" t="s">
        <v>337</v>
      </c>
      <c r="C340">
        <v>2595.44</v>
      </c>
      <c r="D340" t="s">
        <v>394</v>
      </c>
      <c r="E340">
        <v>5</v>
      </c>
      <c r="F340" t="s">
        <v>401</v>
      </c>
      <c r="G340" t="s">
        <v>403</v>
      </c>
      <c r="H340" t="s">
        <v>405</v>
      </c>
      <c r="I340" t="s">
        <v>409</v>
      </c>
      <c r="J340" t="s">
        <v>300</v>
      </c>
      <c r="K340" t="s">
        <v>582</v>
      </c>
    </row>
    <row r="341" spans="1:11" x14ac:dyDescent="0.35">
      <c r="A341" t="s">
        <v>115</v>
      </c>
      <c r="B341" t="s">
        <v>298</v>
      </c>
      <c r="C341">
        <v>538.30999999999995</v>
      </c>
      <c r="D341" t="s">
        <v>394</v>
      </c>
      <c r="E341">
        <v>5</v>
      </c>
      <c r="F341" t="s">
        <v>400</v>
      </c>
      <c r="G341" t="s">
        <v>402</v>
      </c>
      <c r="H341" t="s">
        <v>404</v>
      </c>
      <c r="I341" t="s">
        <v>409</v>
      </c>
      <c r="J341" t="s">
        <v>293</v>
      </c>
      <c r="K341" t="s">
        <v>582</v>
      </c>
    </row>
    <row r="342" spans="1:11" x14ac:dyDescent="0.35">
      <c r="A342" t="s">
        <v>16</v>
      </c>
      <c r="B342" t="s">
        <v>311</v>
      </c>
      <c r="C342">
        <v>4580.42</v>
      </c>
      <c r="D342" t="s">
        <v>391</v>
      </c>
      <c r="E342">
        <v>2</v>
      </c>
      <c r="F342" t="s">
        <v>397</v>
      </c>
      <c r="G342" t="s">
        <v>403</v>
      </c>
      <c r="H342" t="s">
        <v>404</v>
      </c>
      <c r="I342" t="s">
        <v>410</v>
      </c>
      <c r="J342" t="s">
        <v>293</v>
      </c>
      <c r="K342" t="s">
        <v>582</v>
      </c>
    </row>
    <row r="343" spans="1:11" x14ac:dyDescent="0.35">
      <c r="A343" t="s">
        <v>81</v>
      </c>
      <c r="B343" t="s">
        <v>355</v>
      </c>
      <c r="C343">
        <v>3682.24</v>
      </c>
      <c r="D343" t="s">
        <v>391</v>
      </c>
      <c r="E343">
        <v>5</v>
      </c>
      <c r="F343" t="s">
        <v>398</v>
      </c>
      <c r="G343" t="s">
        <v>402</v>
      </c>
      <c r="H343" t="s">
        <v>406</v>
      </c>
      <c r="I343" t="s">
        <v>409</v>
      </c>
      <c r="J343" t="s">
        <v>293</v>
      </c>
      <c r="K343" t="s">
        <v>583</v>
      </c>
    </row>
    <row r="344" spans="1:11" x14ac:dyDescent="0.35">
      <c r="A344" t="s">
        <v>125</v>
      </c>
      <c r="B344" t="s">
        <v>229</v>
      </c>
      <c r="C344">
        <v>2642</v>
      </c>
      <c r="D344" t="s">
        <v>392</v>
      </c>
      <c r="E344">
        <v>1</v>
      </c>
      <c r="F344" t="s">
        <v>399</v>
      </c>
      <c r="G344" t="s">
        <v>403</v>
      </c>
      <c r="H344" t="s">
        <v>405</v>
      </c>
      <c r="I344" t="s">
        <v>410</v>
      </c>
      <c r="J344" t="s">
        <v>293</v>
      </c>
      <c r="K344" t="s">
        <v>582</v>
      </c>
    </row>
    <row r="345" spans="1:11" x14ac:dyDescent="0.35">
      <c r="A345" t="s">
        <v>80</v>
      </c>
      <c r="B345" t="s">
        <v>253</v>
      </c>
      <c r="C345">
        <v>1751.49</v>
      </c>
      <c r="D345" t="s">
        <v>394</v>
      </c>
      <c r="E345">
        <v>4</v>
      </c>
      <c r="F345" t="s">
        <v>399</v>
      </c>
      <c r="G345" t="s">
        <v>403</v>
      </c>
      <c r="H345" t="s">
        <v>406</v>
      </c>
      <c r="I345" t="s">
        <v>409</v>
      </c>
      <c r="J345" t="s">
        <v>293</v>
      </c>
      <c r="K345" t="s">
        <v>583</v>
      </c>
    </row>
    <row r="346" spans="1:11" x14ac:dyDescent="0.35">
      <c r="A346" t="s">
        <v>106</v>
      </c>
      <c r="B346" t="s">
        <v>257</v>
      </c>
      <c r="C346">
        <v>3344.6</v>
      </c>
      <c r="D346" t="s">
        <v>391</v>
      </c>
      <c r="E346">
        <v>5</v>
      </c>
      <c r="F346" t="s">
        <v>397</v>
      </c>
      <c r="G346" t="s">
        <v>403</v>
      </c>
      <c r="H346" t="s">
        <v>405</v>
      </c>
      <c r="I346" t="s">
        <v>409</v>
      </c>
      <c r="J346" t="s">
        <v>293</v>
      </c>
      <c r="K346" t="s">
        <v>582</v>
      </c>
    </row>
    <row r="347" spans="1:11" x14ac:dyDescent="0.35">
      <c r="A347" t="s">
        <v>42</v>
      </c>
      <c r="B347" t="s">
        <v>250</v>
      </c>
      <c r="C347">
        <v>1069.7</v>
      </c>
      <c r="D347" t="s">
        <v>392</v>
      </c>
      <c r="E347">
        <v>1</v>
      </c>
      <c r="F347" t="s">
        <v>399</v>
      </c>
      <c r="G347" t="s">
        <v>402</v>
      </c>
      <c r="H347" t="s">
        <v>407</v>
      </c>
      <c r="I347" t="s">
        <v>410</v>
      </c>
      <c r="J347" t="s">
        <v>235</v>
      </c>
      <c r="K347" t="s">
        <v>583</v>
      </c>
    </row>
    <row r="348" spans="1:11" x14ac:dyDescent="0.35">
      <c r="A348" t="s">
        <v>68</v>
      </c>
      <c r="B348" t="s">
        <v>240</v>
      </c>
      <c r="C348">
        <v>3720.87</v>
      </c>
      <c r="D348" t="s">
        <v>396</v>
      </c>
      <c r="E348">
        <v>5</v>
      </c>
      <c r="F348" t="s">
        <v>397</v>
      </c>
      <c r="G348" t="s">
        <v>402</v>
      </c>
      <c r="H348" t="s">
        <v>406</v>
      </c>
      <c r="I348" t="s">
        <v>409</v>
      </c>
      <c r="J348" t="s">
        <v>235</v>
      </c>
      <c r="K348" t="s">
        <v>582</v>
      </c>
    </row>
    <row r="349" spans="1:11" x14ac:dyDescent="0.35">
      <c r="A349" t="s">
        <v>96</v>
      </c>
      <c r="B349" t="s">
        <v>256</v>
      </c>
      <c r="C349">
        <v>4136</v>
      </c>
      <c r="D349" t="s">
        <v>394</v>
      </c>
      <c r="E349">
        <v>2</v>
      </c>
      <c r="F349" t="s">
        <v>400</v>
      </c>
      <c r="G349" t="s">
        <v>402</v>
      </c>
      <c r="H349" t="s">
        <v>404</v>
      </c>
      <c r="I349" t="s">
        <v>409</v>
      </c>
      <c r="J349" t="s">
        <v>235</v>
      </c>
      <c r="K349" t="s">
        <v>583</v>
      </c>
    </row>
    <row r="350" spans="1:11" x14ac:dyDescent="0.35">
      <c r="A350" t="s">
        <v>180</v>
      </c>
      <c r="B350" t="s">
        <v>339</v>
      </c>
      <c r="C350">
        <v>1314.36</v>
      </c>
      <c r="D350" t="s">
        <v>393</v>
      </c>
      <c r="E350">
        <v>2</v>
      </c>
      <c r="F350" t="s">
        <v>400</v>
      </c>
      <c r="G350" t="s">
        <v>403</v>
      </c>
      <c r="H350" t="s">
        <v>407</v>
      </c>
      <c r="I350" t="s">
        <v>410</v>
      </c>
      <c r="J350" t="s">
        <v>235</v>
      </c>
      <c r="K350" t="s">
        <v>582</v>
      </c>
    </row>
    <row r="351" spans="1:11" x14ac:dyDescent="0.35">
      <c r="A351" t="s">
        <v>74</v>
      </c>
      <c r="B351" t="s">
        <v>264</v>
      </c>
      <c r="C351">
        <v>4834.84</v>
      </c>
      <c r="D351" t="s">
        <v>392</v>
      </c>
      <c r="E351">
        <v>4</v>
      </c>
      <c r="F351" t="s">
        <v>397</v>
      </c>
      <c r="G351" t="s">
        <v>403</v>
      </c>
      <c r="H351" t="s">
        <v>407</v>
      </c>
      <c r="I351" t="s">
        <v>410</v>
      </c>
      <c r="J351" t="s">
        <v>235</v>
      </c>
      <c r="K351" t="s">
        <v>582</v>
      </c>
    </row>
    <row r="352" spans="1:11" x14ac:dyDescent="0.35">
      <c r="A352" t="s">
        <v>50</v>
      </c>
      <c r="B352" t="s">
        <v>231</v>
      </c>
      <c r="C352">
        <v>2011.99</v>
      </c>
      <c r="D352" t="s">
        <v>391</v>
      </c>
      <c r="E352">
        <v>4</v>
      </c>
      <c r="F352" t="s">
        <v>398</v>
      </c>
      <c r="G352" t="s">
        <v>403</v>
      </c>
      <c r="H352" t="s">
        <v>407</v>
      </c>
      <c r="I352" t="s">
        <v>410</v>
      </c>
      <c r="J352" t="s">
        <v>235</v>
      </c>
      <c r="K352" t="s">
        <v>582</v>
      </c>
    </row>
    <row r="353" spans="1:11" x14ac:dyDescent="0.35">
      <c r="A353" t="s">
        <v>107</v>
      </c>
      <c r="B353" t="s">
        <v>217</v>
      </c>
      <c r="C353">
        <v>3944.34</v>
      </c>
      <c r="D353" t="s">
        <v>391</v>
      </c>
      <c r="E353">
        <v>4</v>
      </c>
      <c r="F353" t="s">
        <v>399</v>
      </c>
      <c r="G353" t="s">
        <v>402</v>
      </c>
      <c r="H353" t="s">
        <v>408</v>
      </c>
      <c r="I353" t="s">
        <v>409</v>
      </c>
      <c r="J353" t="s">
        <v>272</v>
      </c>
      <c r="K353" t="s">
        <v>583</v>
      </c>
    </row>
    <row r="354" spans="1:11" x14ac:dyDescent="0.35">
      <c r="A354" t="s">
        <v>74</v>
      </c>
      <c r="B354" t="s">
        <v>347</v>
      </c>
      <c r="C354">
        <v>4691.51</v>
      </c>
      <c r="D354" t="s">
        <v>393</v>
      </c>
      <c r="E354">
        <v>3</v>
      </c>
      <c r="F354" t="s">
        <v>399</v>
      </c>
      <c r="G354" t="s">
        <v>402</v>
      </c>
      <c r="H354" t="s">
        <v>408</v>
      </c>
      <c r="I354" t="s">
        <v>410</v>
      </c>
      <c r="J354" t="s">
        <v>272</v>
      </c>
      <c r="K354" t="s">
        <v>583</v>
      </c>
    </row>
    <row r="355" spans="1:11" x14ac:dyDescent="0.35">
      <c r="A355" t="s">
        <v>84</v>
      </c>
      <c r="B355" t="s">
        <v>311</v>
      </c>
      <c r="C355">
        <v>816.54</v>
      </c>
      <c r="D355" t="s">
        <v>392</v>
      </c>
      <c r="E355">
        <v>1</v>
      </c>
      <c r="F355" t="s">
        <v>400</v>
      </c>
      <c r="G355" t="s">
        <v>402</v>
      </c>
      <c r="H355" t="s">
        <v>404</v>
      </c>
      <c r="I355" t="s">
        <v>410</v>
      </c>
      <c r="J355" t="s">
        <v>272</v>
      </c>
      <c r="K355" t="s">
        <v>582</v>
      </c>
    </row>
    <row r="356" spans="1:11" x14ac:dyDescent="0.35">
      <c r="A356" t="s">
        <v>23</v>
      </c>
      <c r="B356" t="s">
        <v>325</v>
      </c>
      <c r="C356">
        <v>1276.6600000000001</v>
      </c>
      <c r="D356" t="s">
        <v>392</v>
      </c>
      <c r="E356">
        <v>4</v>
      </c>
      <c r="F356" t="s">
        <v>399</v>
      </c>
      <c r="G356" t="s">
        <v>402</v>
      </c>
      <c r="H356" t="s">
        <v>406</v>
      </c>
      <c r="I356" t="s">
        <v>410</v>
      </c>
      <c r="J356" t="s">
        <v>272</v>
      </c>
      <c r="K356" t="s">
        <v>583</v>
      </c>
    </row>
    <row r="357" spans="1:11" x14ac:dyDescent="0.35">
      <c r="A357" t="s">
        <v>88</v>
      </c>
      <c r="B357" t="s">
        <v>361</v>
      </c>
      <c r="C357">
        <v>4254.3900000000003</v>
      </c>
      <c r="D357" t="s">
        <v>391</v>
      </c>
      <c r="E357">
        <v>2</v>
      </c>
      <c r="F357" t="s">
        <v>398</v>
      </c>
      <c r="G357" t="s">
        <v>403</v>
      </c>
      <c r="H357" t="s">
        <v>407</v>
      </c>
      <c r="I357" t="s">
        <v>409</v>
      </c>
      <c r="J357" t="s">
        <v>272</v>
      </c>
      <c r="K357" t="s">
        <v>582</v>
      </c>
    </row>
    <row r="358" spans="1:11" x14ac:dyDescent="0.35">
      <c r="A358" t="s">
        <v>147</v>
      </c>
      <c r="B358" t="s">
        <v>304</v>
      </c>
      <c r="C358">
        <v>4119.1400000000003</v>
      </c>
      <c r="D358" t="s">
        <v>395</v>
      </c>
      <c r="E358">
        <v>2</v>
      </c>
      <c r="F358" t="s">
        <v>400</v>
      </c>
      <c r="G358" t="s">
        <v>402</v>
      </c>
      <c r="H358" t="s">
        <v>406</v>
      </c>
      <c r="I358" t="s">
        <v>410</v>
      </c>
      <c r="J358" t="s">
        <v>272</v>
      </c>
      <c r="K358" t="s">
        <v>583</v>
      </c>
    </row>
    <row r="359" spans="1:11" x14ac:dyDescent="0.35">
      <c r="A359" t="s">
        <v>107</v>
      </c>
      <c r="B359" t="s">
        <v>281</v>
      </c>
      <c r="C359">
        <v>1799.47</v>
      </c>
      <c r="D359" t="s">
        <v>395</v>
      </c>
      <c r="E359">
        <v>1</v>
      </c>
      <c r="F359" t="s">
        <v>399</v>
      </c>
      <c r="G359" t="s">
        <v>403</v>
      </c>
      <c r="H359" t="s">
        <v>407</v>
      </c>
      <c r="I359" t="s">
        <v>409</v>
      </c>
      <c r="J359" t="s">
        <v>272</v>
      </c>
      <c r="K359" t="s">
        <v>582</v>
      </c>
    </row>
    <row r="360" spans="1:11" x14ac:dyDescent="0.35">
      <c r="A360" t="s">
        <v>35</v>
      </c>
      <c r="B360" t="s">
        <v>364</v>
      </c>
      <c r="C360">
        <v>2898.8</v>
      </c>
      <c r="D360" t="s">
        <v>394</v>
      </c>
      <c r="E360">
        <v>1</v>
      </c>
      <c r="F360" t="s">
        <v>401</v>
      </c>
      <c r="G360" t="s">
        <v>402</v>
      </c>
      <c r="H360" t="s">
        <v>405</v>
      </c>
      <c r="I360" t="s">
        <v>410</v>
      </c>
      <c r="J360" t="s">
        <v>272</v>
      </c>
      <c r="K360" t="s">
        <v>583</v>
      </c>
    </row>
    <row r="361" spans="1:11" x14ac:dyDescent="0.35">
      <c r="A361" t="s">
        <v>183</v>
      </c>
      <c r="B361" t="s">
        <v>320</v>
      </c>
      <c r="C361">
        <v>2654.47</v>
      </c>
      <c r="D361" t="s">
        <v>394</v>
      </c>
      <c r="E361">
        <v>2</v>
      </c>
      <c r="F361" t="s">
        <v>400</v>
      </c>
      <c r="G361" t="s">
        <v>402</v>
      </c>
      <c r="H361" t="s">
        <v>405</v>
      </c>
      <c r="I361" t="s">
        <v>409</v>
      </c>
      <c r="J361" t="s">
        <v>272</v>
      </c>
      <c r="K361" t="s">
        <v>583</v>
      </c>
    </row>
    <row r="362" spans="1:11" x14ac:dyDescent="0.35">
      <c r="A362" t="s">
        <v>128</v>
      </c>
      <c r="B362" t="s">
        <v>321</v>
      </c>
      <c r="C362">
        <v>1348.3</v>
      </c>
      <c r="D362" t="s">
        <v>393</v>
      </c>
      <c r="E362">
        <v>2</v>
      </c>
      <c r="F362" t="s">
        <v>398</v>
      </c>
      <c r="G362" t="s">
        <v>402</v>
      </c>
      <c r="H362" t="s">
        <v>405</v>
      </c>
      <c r="I362" t="s">
        <v>410</v>
      </c>
      <c r="J362" t="s">
        <v>294</v>
      </c>
      <c r="K362" t="s">
        <v>583</v>
      </c>
    </row>
    <row r="363" spans="1:11" x14ac:dyDescent="0.35">
      <c r="A363" t="s">
        <v>77</v>
      </c>
      <c r="B363" t="s">
        <v>232</v>
      </c>
      <c r="C363">
        <v>2965.08</v>
      </c>
      <c r="D363" t="s">
        <v>392</v>
      </c>
      <c r="E363">
        <v>5</v>
      </c>
      <c r="F363" t="s">
        <v>399</v>
      </c>
      <c r="G363" t="s">
        <v>403</v>
      </c>
      <c r="H363" t="s">
        <v>408</v>
      </c>
      <c r="I363" t="s">
        <v>409</v>
      </c>
      <c r="J363" t="s">
        <v>294</v>
      </c>
      <c r="K363" t="s">
        <v>582</v>
      </c>
    </row>
    <row r="364" spans="1:11" x14ac:dyDescent="0.35">
      <c r="A364" t="s">
        <v>129</v>
      </c>
      <c r="B364" t="s">
        <v>375</v>
      </c>
      <c r="C364">
        <v>4789.71</v>
      </c>
      <c r="D364" t="s">
        <v>394</v>
      </c>
      <c r="E364">
        <v>2</v>
      </c>
      <c r="F364" t="s">
        <v>398</v>
      </c>
      <c r="G364" t="s">
        <v>403</v>
      </c>
      <c r="H364" t="s">
        <v>408</v>
      </c>
      <c r="I364" t="s">
        <v>409</v>
      </c>
      <c r="J364" t="s">
        <v>294</v>
      </c>
      <c r="K364" t="s">
        <v>582</v>
      </c>
    </row>
    <row r="365" spans="1:11" x14ac:dyDescent="0.35">
      <c r="A365" t="s">
        <v>141</v>
      </c>
      <c r="B365" t="s">
        <v>223</v>
      </c>
      <c r="C365">
        <v>1995.59</v>
      </c>
      <c r="D365" t="s">
        <v>393</v>
      </c>
      <c r="E365">
        <v>2</v>
      </c>
      <c r="F365" t="s">
        <v>401</v>
      </c>
      <c r="G365" t="s">
        <v>402</v>
      </c>
      <c r="H365" t="s">
        <v>407</v>
      </c>
      <c r="I365" t="s">
        <v>409</v>
      </c>
      <c r="J365" t="s">
        <v>294</v>
      </c>
      <c r="K365" t="s">
        <v>582</v>
      </c>
    </row>
    <row r="366" spans="1:11" x14ac:dyDescent="0.35">
      <c r="A366" t="s">
        <v>61</v>
      </c>
      <c r="B366" t="s">
        <v>268</v>
      </c>
      <c r="C366">
        <v>4607.5</v>
      </c>
      <c r="D366" t="s">
        <v>396</v>
      </c>
      <c r="E366">
        <v>5</v>
      </c>
      <c r="F366" t="s">
        <v>400</v>
      </c>
      <c r="G366" t="s">
        <v>403</v>
      </c>
      <c r="H366" t="s">
        <v>405</v>
      </c>
      <c r="I366" t="s">
        <v>410</v>
      </c>
      <c r="J366" t="s">
        <v>294</v>
      </c>
      <c r="K366" t="s">
        <v>582</v>
      </c>
    </row>
    <row r="367" spans="1:11" x14ac:dyDescent="0.35">
      <c r="A367" t="s">
        <v>20</v>
      </c>
      <c r="B367" t="s">
        <v>253</v>
      </c>
      <c r="C367">
        <v>4073.72</v>
      </c>
      <c r="D367" t="s">
        <v>394</v>
      </c>
      <c r="E367">
        <v>4</v>
      </c>
      <c r="F367" t="s">
        <v>397</v>
      </c>
      <c r="G367" t="s">
        <v>402</v>
      </c>
      <c r="H367" t="s">
        <v>405</v>
      </c>
      <c r="I367" t="s">
        <v>410</v>
      </c>
      <c r="J367" t="s">
        <v>367</v>
      </c>
      <c r="K367" t="s">
        <v>582</v>
      </c>
    </row>
    <row r="368" spans="1:11" x14ac:dyDescent="0.35">
      <c r="A368" t="s">
        <v>57</v>
      </c>
      <c r="B368" t="s">
        <v>252</v>
      </c>
      <c r="C368">
        <v>4152.18</v>
      </c>
      <c r="D368" t="s">
        <v>394</v>
      </c>
      <c r="E368">
        <v>5</v>
      </c>
      <c r="F368" t="s">
        <v>397</v>
      </c>
      <c r="G368" t="s">
        <v>403</v>
      </c>
      <c r="H368" t="s">
        <v>406</v>
      </c>
      <c r="I368" t="s">
        <v>409</v>
      </c>
      <c r="J368" t="s">
        <v>367</v>
      </c>
      <c r="K368" t="s">
        <v>583</v>
      </c>
    </row>
    <row r="369" spans="1:11" x14ac:dyDescent="0.35">
      <c r="A369" t="s">
        <v>82</v>
      </c>
      <c r="B369" t="s">
        <v>210</v>
      </c>
      <c r="C369">
        <v>2034.6</v>
      </c>
      <c r="D369" t="s">
        <v>391</v>
      </c>
      <c r="E369">
        <v>1</v>
      </c>
      <c r="F369" t="s">
        <v>401</v>
      </c>
      <c r="G369" t="s">
        <v>402</v>
      </c>
      <c r="H369" t="s">
        <v>408</v>
      </c>
      <c r="I369" t="s">
        <v>409</v>
      </c>
      <c r="J369" t="s">
        <v>367</v>
      </c>
      <c r="K369" t="s">
        <v>582</v>
      </c>
    </row>
    <row r="370" spans="1:11" x14ac:dyDescent="0.35">
      <c r="A370" t="s">
        <v>170</v>
      </c>
      <c r="B370" t="s">
        <v>311</v>
      </c>
      <c r="C370">
        <v>2046.84</v>
      </c>
      <c r="D370" t="s">
        <v>393</v>
      </c>
      <c r="E370">
        <v>5</v>
      </c>
      <c r="F370" t="s">
        <v>401</v>
      </c>
      <c r="G370" t="s">
        <v>402</v>
      </c>
      <c r="H370" t="s">
        <v>404</v>
      </c>
      <c r="I370" t="s">
        <v>409</v>
      </c>
      <c r="J370" t="s">
        <v>367</v>
      </c>
      <c r="K370" t="s">
        <v>582</v>
      </c>
    </row>
    <row r="371" spans="1:11" x14ac:dyDescent="0.35">
      <c r="A371" t="s">
        <v>39</v>
      </c>
      <c r="B371" t="s">
        <v>236</v>
      </c>
      <c r="C371">
        <v>1171.3399999999999</v>
      </c>
      <c r="D371" t="s">
        <v>395</v>
      </c>
      <c r="E371">
        <v>5</v>
      </c>
      <c r="F371" t="s">
        <v>401</v>
      </c>
      <c r="G371" t="s">
        <v>403</v>
      </c>
      <c r="H371" t="s">
        <v>406</v>
      </c>
      <c r="I371" t="s">
        <v>410</v>
      </c>
      <c r="J371" t="s">
        <v>318</v>
      </c>
      <c r="K371" t="s">
        <v>582</v>
      </c>
    </row>
    <row r="372" spans="1:11" x14ac:dyDescent="0.35">
      <c r="A372" t="s">
        <v>124</v>
      </c>
      <c r="B372" t="s">
        <v>262</v>
      </c>
      <c r="C372">
        <v>1255.54</v>
      </c>
      <c r="D372" t="s">
        <v>392</v>
      </c>
      <c r="E372">
        <v>4</v>
      </c>
      <c r="F372" t="s">
        <v>400</v>
      </c>
      <c r="G372" t="s">
        <v>403</v>
      </c>
      <c r="H372" t="s">
        <v>406</v>
      </c>
      <c r="I372" t="s">
        <v>410</v>
      </c>
      <c r="J372" t="s">
        <v>318</v>
      </c>
      <c r="K372" t="s">
        <v>583</v>
      </c>
    </row>
    <row r="373" spans="1:11" x14ac:dyDescent="0.35">
      <c r="A373" t="s">
        <v>80</v>
      </c>
      <c r="B373" t="s">
        <v>311</v>
      </c>
      <c r="C373">
        <v>2363.7800000000002</v>
      </c>
      <c r="D373" t="s">
        <v>393</v>
      </c>
      <c r="E373">
        <v>2</v>
      </c>
      <c r="F373" t="s">
        <v>401</v>
      </c>
      <c r="G373" t="s">
        <v>402</v>
      </c>
      <c r="H373" t="s">
        <v>404</v>
      </c>
      <c r="I373" t="s">
        <v>410</v>
      </c>
      <c r="J373" t="s">
        <v>322</v>
      </c>
      <c r="K373" t="s">
        <v>582</v>
      </c>
    </row>
    <row r="374" spans="1:11" x14ac:dyDescent="0.35">
      <c r="A374" t="s">
        <v>13</v>
      </c>
      <c r="B374" t="s">
        <v>352</v>
      </c>
      <c r="C374">
        <v>2200.89</v>
      </c>
      <c r="D374" t="s">
        <v>391</v>
      </c>
      <c r="E374">
        <v>2</v>
      </c>
      <c r="F374" t="s">
        <v>399</v>
      </c>
      <c r="G374" t="s">
        <v>402</v>
      </c>
      <c r="H374" t="s">
        <v>405</v>
      </c>
      <c r="I374" t="s">
        <v>409</v>
      </c>
      <c r="J374" t="s">
        <v>322</v>
      </c>
      <c r="K374" t="s">
        <v>582</v>
      </c>
    </row>
    <row r="375" spans="1:11" x14ac:dyDescent="0.35">
      <c r="A375" t="s">
        <v>111</v>
      </c>
      <c r="B375" t="s">
        <v>373</v>
      </c>
      <c r="C375">
        <v>4618.34</v>
      </c>
      <c r="D375" t="s">
        <v>395</v>
      </c>
      <c r="E375">
        <v>2</v>
      </c>
      <c r="F375" t="s">
        <v>401</v>
      </c>
      <c r="G375" t="s">
        <v>403</v>
      </c>
      <c r="H375" t="s">
        <v>406</v>
      </c>
      <c r="I375" t="s">
        <v>409</v>
      </c>
      <c r="J375" t="s">
        <v>322</v>
      </c>
      <c r="K375" t="s">
        <v>583</v>
      </c>
    </row>
    <row r="376" spans="1:11" x14ac:dyDescent="0.35">
      <c r="A376" t="s">
        <v>78</v>
      </c>
      <c r="B376" t="s">
        <v>242</v>
      </c>
      <c r="C376">
        <v>3986.78</v>
      </c>
      <c r="D376" t="s">
        <v>395</v>
      </c>
      <c r="E376">
        <v>3</v>
      </c>
      <c r="F376" t="s">
        <v>397</v>
      </c>
      <c r="G376" t="s">
        <v>403</v>
      </c>
      <c r="H376" t="s">
        <v>404</v>
      </c>
      <c r="I376" t="s">
        <v>410</v>
      </c>
      <c r="J376" t="s">
        <v>322</v>
      </c>
      <c r="K376" t="s">
        <v>583</v>
      </c>
    </row>
    <row r="377" spans="1:11" x14ac:dyDescent="0.35">
      <c r="A377" t="s">
        <v>103</v>
      </c>
      <c r="B377" t="s">
        <v>233</v>
      </c>
      <c r="C377">
        <v>3525.63</v>
      </c>
      <c r="D377" t="s">
        <v>393</v>
      </c>
      <c r="E377">
        <v>1</v>
      </c>
      <c r="F377" t="s">
        <v>398</v>
      </c>
      <c r="G377" t="s">
        <v>402</v>
      </c>
      <c r="H377" t="s">
        <v>404</v>
      </c>
      <c r="I377" t="s">
        <v>409</v>
      </c>
      <c r="J377" t="s">
        <v>322</v>
      </c>
      <c r="K377" t="s">
        <v>582</v>
      </c>
    </row>
    <row r="378" spans="1:11" x14ac:dyDescent="0.35">
      <c r="A378" t="s">
        <v>48</v>
      </c>
      <c r="B378" t="s">
        <v>317</v>
      </c>
      <c r="C378">
        <v>4160.6899999999996</v>
      </c>
      <c r="D378" t="s">
        <v>396</v>
      </c>
      <c r="E378">
        <v>2</v>
      </c>
      <c r="F378" t="s">
        <v>399</v>
      </c>
      <c r="G378" t="s">
        <v>402</v>
      </c>
      <c r="H378" t="s">
        <v>405</v>
      </c>
      <c r="I378" t="s">
        <v>410</v>
      </c>
      <c r="J378" t="s">
        <v>315</v>
      </c>
      <c r="K378" t="s">
        <v>583</v>
      </c>
    </row>
    <row r="379" spans="1:11" x14ac:dyDescent="0.35">
      <c r="A379" t="s">
        <v>184</v>
      </c>
      <c r="B379" t="s">
        <v>265</v>
      </c>
      <c r="C379">
        <v>132.18</v>
      </c>
      <c r="D379" t="s">
        <v>392</v>
      </c>
      <c r="E379">
        <v>1</v>
      </c>
      <c r="F379" t="s">
        <v>397</v>
      </c>
      <c r="G379" t="s">
        <v>402</v>
      </c>
      <c r="H379" t="s">
        <v>406</v>
      </c>
      <c r="I379" t="s">
        <v>410</v>
      </c>
      <c r="J379" t="s">
        <v>315</v>
      </c>
      <c r="K379" t="s">
        <v>582</v>
      </c>
    </row>
    <row r="380" spans="1:11" x14ac:dyDescent="0.35">
      <c r="A380" t="s">
        <v>82</v>
      </c>
      <c r="B380" t="s">
        <v>232</v>
      </c>
      <c r="C380">
        <v>3529.61</v>
      </c>
      <c r="D380" t="s">
        <v>395</v>
      </c>
      <c r="E380">
        <v>1</v>
      </c>
      <c r="F380" t="s">
        <v>397</v>
      </c>
      <c r="G380" t="s">
        <v>403</v>
      </c>
      <c r="H380" t="s">
        <v>404</v>
      </c>
      <c r="I380" t="s">
        <v>409</v>
      </c>
      <c r="J380" t="s">
        <v>315</v>
      </c>
      <c r="K380" t="s">
        <v>583</v>
      </c>
    </row>
    <row r="381" spans="1:11" x14ac:dyDescent="0.35">
      <c r="A381" t="s">
        <v>182</v>
      </c>
      <c r="B381" t="s">
        <v>244</v>
      </c>
      <c r="C381">
        <v>2404.1999999999998</v>
      </c>
      <c r="D381" t="s">
        <v>391</v>
      </c>
      <c r="E381">
        <v>5</v>
      </c>
      <c r="F381" t="s">
        <v>401</v>
      </c>
      <c r="G381" t="s">
        <v>402</v>
      </c>
      <c r="H381" t="s">
        <v>407</v>
      </c>
      <c r="I381" t="s">
        <v>409</v>
      </c>
      <c r="J381" t="s">
        <v>345</v>
      </c>
      <c r="K381" t="s">
        <v>582</v>
      </c>
    </row>
    <row r="382" spans="1:11" x14ac:dyDescent="0.35">
      <c r="A382" t="s">
        <v>69</v>
      </c>
      <c r="B382" t="s">
        <v>373</v>
      </c>
      <c r="C382">
        <v>648.23</v>
      </c>
      <c r="D382" t="s">
        <v>395</v>
      </c>
      <c r="E382">
        <v>3</v>
      </c>
      <c r="F382" t="s">
        <v>401</v>
      </c>
      <c r="G382" t="s">
        <v>402</v>
      </c>
      <c r="H382" t="s">
        <v>407</v>
      </c>
      <c r="I382" t="s">
        <v>410</v>
      </c>
      <c r="J382" t="s">
        <v>345</v>
      </c>
      <c r="K382" t="s">
        <v>583</v>
      </c>
    </row>
    <row r="383" spans="1:11" x14ac:dyDescent="0.35">
      <c r="A383" t="s">
        <v>167</v>
      </c>
      <c r="B383" t="s">
        <v>379</v>
      </c>
      <c r="C383">
        <v>4026.1</v>
      </c>
      <c r="D383" t="s">
        <v>394</v>
      </c>
      <c r="E383">
        <v>1</v>
      </c>
      <c r="F383" t="s">
        <v>399</v>
      </c>
      <c r="G383" t="s">
        <v>402</v>
      </c>
      <c r="H383" t="s">
        <v>407</v>
      </c>
      <c r="I383" t="s">
        <v>410</v>
      </c>
      <c r="J383" t="s">
        <v>345</v>
      </c>
      <c r="K383" t="s">
        <v>582</v>
      </c>
    </row>
    <row r="384" spans="1:11" x14ac:dyDescent="0.35">
      <c r="A384" t="s">
        <v>99</v>
      </c>
      <c r="B384" t="s">
        <v>346</v>
      </c>
      <c r="C384">
        <v>3110.11</v>
      </c>
      <c r="D384" t="s">
        <v>392</v>
      </c>
      <c r="E384">
        <v>1</v>
      </c>
      <c r="F384" t="s">
        <v>401</v>
      </c>
      <c r="G384" t="s">
        <v>403</v>
      </c>
      <c r="H384" t="s">
        <v>408</v>
      </c>
      <c r="I384" t="s">
        <v>410</v>
      </c>
      <c r="J384" t="s">
        <v>345</v>
      </c>
      <c r="K384" t="s">
        <v>583</v>
      </c>
    </row>
    <row r="385" spans="1:11" x14ac:dyDescent="0.35">
      <c r="A385" t="s">
        <v>83</v>
      </c>
      <c r="B385" t="s">
        <v>354</v>
      </c>
      <c r="C385">
        <v>2359.9699999999998</v>
      </c>
      <c r="D385" t="s">
        <v>394</v>
      </c>
      <c r="E385">
        <v>5</v>
      </c>
      <c r="F385" t="s">
        <v>399</v>
      </c>
      <c r="G385" t="s">
        <v>402</v>
      </c>
      <c r="H385" t="s">
        <v>407</v>
      </c>
      <c r="I385" t="s">
        <v>409</v>
      </c>
      <c r="J385" t="s">
        <v>345</v>
      </c>
      <c r="K385" t="s">
        <v>583</v>
      </c>
    </row>
    <row r="386" spans="1:11" x14ac:dyDescent="0.35">
      <c r="A386" t="s">
        <v>127</v>
      </c>
      <c r="B386" t="s">
        <v>359</v>
      </c>
      <c r="C386">
        <v>1047.8900000000001</v>
      </c>
      <c r="D386" t="s">
        <v>394</v>
      </c>
      <c r="E386">
        <v>3</v>
      </c>
      <c r="F386" t="s">
        <v>397</v>
      </c>
      <c r="G386" t="s">
        <v>403</v>
      </c>
      <c r="H386" t="s">
        <v>408</v>
      </c>
      <c r="I386" t="s">
        <v>410</v>
      </c>
      <c r="J386" t="s">
        <v>345</v>
      </c>
      <c r="K386" t="s">
        <v>583</v>
      </c>
    </row>
    <row r="387" spans="1:11" x14ac:dyDescent="0.35">
      <c r="A387" t="s">
        <v>61</v>
      </c>
      <c r="B387" t="s">
        <v>253</v>
      </c>
      <c r="C387">
        <v>3996.18</v>
      </c>
      <c r="D387" t="s">
        <v>395</v>
      </c>
      <c r="E387">
        <v>4</v>
      </c>
      <c r="F387" t="s">
        <v>401</v>
      </c>
      <c r="G387" t="s">
        <v>402</v>
      </c>
      <c r="H387" t="s">
        <v>407</v>
      </c>
      <c r="I387" t="s">
        <v>409</v>
      </c>
      <c r="J387" t="s">
        <v>345</v>
      </c>
      <c r="K387" t="s">
        <v>583</v>
      </c>
    </row>
    <row r="388" spans="1:11" x14ac:dyDescent="0.35">
      <c r="A388" t="s">
        <v>168</v>
      </c>
      <c r="B388" t="s">
        <v>226</v>
      </c>
      <c r="C388">
        <v>2513.77</v>
      </c>
      <c r="D388" t="s">
        <v>396</v>
      </c>
      <c r="E388">
        <v>3</v>
      </c>
      <c r="F388" t="s">
        <v>400</v>
      </c>
      <c r="G388" t="s">
        <v>403</v>
      </c>
      <c r="H388" t="s">
        <v>408</v>
      </c>
      <c r="I388" t="s">
        <v>409</v>
      </c>
      <c r="J388" t="s">
        <v>345</v>
      </c>
      <c r="K388" t="s">
        <v>582</v>
      </c>
    </row>
    <row r="389" spans="1:11" x14ac:dyDescent="0.35">
      <c r="A389" t="s">
        <v>73</v>
      </c>
      <c r="B389" t="s">
        <v>387</v>
      </c>
      <c r="C389">
        <v>2703.01</v>
      </c>
      <c r="D389" t="s">
        <v>394</v>
      </c>
      <c r="E389">
        <v>2</v>
      </c>
      <c r="F389" t="s">
        <v>400</v>
      </c>
      <c r="G389" t="s">
        <v>403</v>
      </c>
      <c r="H389" t="s">
        <v>404</v>
      </c>
      <c r="I389" t="s">
        <v>409</v>
      </c>
      <c r="J389" t="s">
        <v>345</v>
      </c>
      <c r="K389" t="s">
        <v>582</v>
      </c>
    </row>
    <row r="390" spans="1:11" x14ac:dyDescent="0.35">
      <c r="A390" t="s">
        <v>65</v>
      </c>
      <c r="B390" t="s">
        <v>306</v>
      </c>
      <c r="C390">
        <v>4331.96</v>
      </c>
      <c r="D390" t="s">
        <v>392</v>
      </c>
      <c r="E390">
        <v>1</v>
      </c>
      <c r="F390" t="s">
        <v>397</v>
      </c>
      <c r="G390" t="s">
        <v>402</v>
      </c>
      <c r="H390" t="s">
        <v>404</v>
      </c>
      <c r="I390" t="s">
        <v>410</v>
      </c>
      <c r="J390" t="s">
        <v>328</v>
      </c>
      <c r="K390" t="s">
        <v>583</v>
      </c>
    </row>
    <row r="391" spans="1:11" x14ac:dyDescent="0.35">
      <c r="A391" t="s">
        <v>166</v>
      </c>
      <c r="B391" t="s">
        <v>362</v>
      </c>
      <c r="C391">
        <v>982.5</v>
      </c>
      <c r="D391" t="s">
        <v>391</v>
      </c>
      <c r="E391">
        <v>3</v>
      </c>
      <c r="F391" t="s">
        <v>399</v>
      </c>
      <c r="G391" t="s">
        <v>403</v>
      </c>
      <c r="H391" t="s">
        <v>408</v>
      </c>
      <c r="I391" t="s">
        <v>410</v>
      </c>
      <c r="J391" t="s">
        <v>328</v>
      </c>
      <c r="K391" t="s">
        <v>583</v>
      </c>
    </row>
    <row r="392" spans="1:11" x14ac:dyDescent="0.35">
      <c r="A392" t="s">
        <v>151</v>
      </c>
      <c r="B392" t="s">
        <v>366</v>
      </c>
      <c r="C392">
        <v>1350.45</v>
      </c>
      <c r="D392" t="s">
        <v>395</v>
      </c>
      <c r="E392">
        <v>1</v>
      </c>
      <c r="F392" t="s">
        <v>397</v>
      </c>
      <c r="G392" t="s">
        <v>402</v>
      </c>
      <c r="H392" t="s">
        <v>408</v>
      </c>
      <c r="I392" t="s">
        <v>410</v>
      </c>
      <c r="J392" t="s">
        <v>328</v>
      </c>
      <c r="K392" t="s">
        <v>582</v>
      </c>
    </row>
    <row r="393" spans="1:11" x14ac:dyDescent="0.35">
      <c r="A393" t="s">
        <v>186</v>
      </c>
      <c r="B393" t="s">
        <v>363</v>
      </c>
      <c r="C393">
        <v>3871.65</v>
      </c>
      <c r="D393" t="s">
        <v>393</v>
      </c>
      <c r="E393">
        <v>5</v>
      </c>
      <c r="F393" t="s">
        <v>400</v>
      </c>
      <c r="G393" t="s">
        <v>402</v>
      </c>
      <c r="H393" t="s">
        <v>404</v>
      </c>
      <c r="I393" t="s">
        <v>410</v>
      </c>
      <c r="J393" t="s">
        <v>328</v>
      </c>
      <c r="K393" t="s">
        <v>583</v>
      </c>
    </row>
    <row r="394" spans="1:11" x14ac:dyDescent="0.35">
      <c r="A394" t="s">
        <v>80</v>
      </c>
      <c r="B394" t="s">
        <v>270</v>
      </c>
      <c r="C394">
        <v>829.45</v>
      </c>
      <c r="D394" t="s">
        <v>393</v>
      </c>
      <c r="E394">
        <v>3</v>
      </c>
      <c r="F394" t="s">
        <v>397</v>
      </c>
      <c r="G394" t="s">
        <v>402</v>
      </c>
      <c r="H394" t="s">
        <v>407</v>
      </c>
      <c r="I394" t="s">
        <v>409</v>
      </c>
      <c r="J394" t="s">
        <v>328</v>
      </c>
      <c r="K394" t="s">
        <v>582</v>
      </c>
    </row>
    <row r="395" spans="1:11" x14ac:dyDescent="0.35">
      <c r="A395" t="s">
        <v>142</v>
      </c>
      <c r="B395" t="s">
        <v>357</v>
      </c>
      <c r="C395">
        <v>4608.34</v>
      </c>
      <c r="D395" t="s">
        <v>393</v>
      </c>
      <c r="E395">
        <v>3</v>
      </c>
      <c r="F395" t="s">
        <v>398</v>
      </c>
      <c r="G395" t="s">
        <v>403</v>
      </c>
      <c r="H395" t="s">
        <v>407</v>
      </c>
      <c r="I395" t="s">
        <v>410</v>
      </c>
      <c r="J395" t="s">
        <v>328</v>
      </c>
      <c r="K395" t="s">
        <v>582</v>
      </c>
    </row>
    <row r="396" spans="1:11" x14ac:dyDescent="0.35">
      <c r="A396" t="s">
        <v>39</v>
      </c>
      <c r="B396" t="s">
        <v>252</v>
      </c>
      <c r="C396">
        <v>244.98</v>
      </c>
      <c r="D396" t="s">
        <v>392</v>
      </c>
      <c r="E396">
        <v>3</v>
      </c>
      <c r="F396" t="s">
        <v>400</v>
      </c>
      <c r="G396" t="s">
        <v>402</v>
      </c>
      <c r="H396" t="s">
        <v>405</v>
      </c>
      <c r="I396" t="s">
        <v>409</v>
      </c>
      <c r="J396" t="s">
        <v>358</v>
      </c>
      <c r="K396" t="s">
        <v>582</v>
      </c>
    </row>
    <row r="397" spans="1:11" x14ac:dyDescent="0.35">
      <c r="A397" t="s">
        <v>105</v>
      </c>
      <c r="B397" t="s">
        <v>368</v>
      </c>
      <c r="C397">
        <v>2197.39</v>
      </c>
      <c r="D397" t="s">
        <v>394</v>
      </c>
      <c r="E397">
        <v>5</v>
      </c>
      <c r="F397" t="s">
        <v>397</v>
      </c>
      <c r="G397" t="s">
        <v>402</v>
      </c>
      <c r="H397" t="s">
        <v>404</v>
      </c>
      <c r="I397" t="s">
        <v>410</v>
      </c>
      <c r="J397" t="s">
        <v>358</v>
      </c>
      <c r="K397" t="s">
        <v>583</v>
      </c>
    </row>
    <row r="398" spans="1:11" x14ac:dyDescent="0.35">
      <c r="A398" t="s">
        <v>179</v>
      </c>
      <c r="B398" t="s">
        <v>261</v>
      </c>
      <c r="C398">
        <v>2086.36</v>
      </c>
      <c r="D398" t="s">
        <v>393</v>
      </c>
      <c r="E398">
        <v>4</v>
      </c>
      <c r="F398" t="s">
        <v>401</v>
      </c>
      <c r="G398" t="s">
        <v>402</v>
      </c>
      <c r="H398" t="s">
        <v>406</v>
      </c>
      <c r="I398" t="s">
        <v>410</v>
      </c>
      <c r="J398" t="s">
        <v>358</v>
      </c>
      <c r="K398" t="s">
        <v>582</v>
      </c>
    </row>
    <row r="399" spans="1:11" x14ac:dyDescent="0.35">
      <c r="A399" t="s">
        <v>72</v>
      </c>
      <c r="B399" t="s">
        <v>379</v>
      </c>
      <c r="C399">
        <v>2047.07</v>
      </c>
      <c r="D399" t="s">
        <v>392</v>
      </c>
      <c r="E399">
        <v>4</v>
      </c>
      <c r="F399" t="s">
        <v>398</v>
      </c>
      <c r="G399" t="s">
        <v>403</v>
      </c>
      <c r="H399" t="s">
        <v>406</v>
      </c>
      <c r="I399" t="s">
        <v>409</v>
      </c>
      <c r="J399" t="s">
        <v>358</v>
      </c>
      <c r="K399" t="s">
        <v>582</v>
      </c>
    </row>
    <row r="400" spans="1:11" x14ac:dyDescent="0.35">
      <c r="A400" t="s">
        <v>81</v>
      </c>
      <c r="B400" t="s">
        <v>385</v>
      </c>
      <c r="C400">
        <v>819.61</v>
      </c>
      <c r="D400" t="s">
        <v>391</v>
      </c>
      <c r="E400">
        <v>2</v>
      </c>
      <c r="F400" t="s">
        <v>399</v>
      </c>
      <c r="G400" t="s">
        <v>403</v>
      </c>
      <c r="H400" t="s">
        <v>404</v>
      </c>
      <c r="I400" t="s">
        <v>409</v>
      </c>
      <c r="J400" t="s">
        <v>358</v>
      </c>
      <c r="K400" t="s">
        <v>583</v>
      </c>
    </row>
    <row r="401" spans="1:11" x14ac:dyDescent="0.35">
      <c r="A401" t="s">
        <v>142</v>
      </c>
      <c r="B401" t="s">
        <v>379</v>
      </c>
      <c r="C401">
        <v>4007.67</v>
      </c>
      <c r="D401" t="s">
        <v>393</v>
      </c>
      <c r="E401">
        <v>5</v>
      </c>
      <c r="F401" t="s">
        <v>399</v>
      </c>
      <c r="G401" t="s">
        <v>402</v>
      </c>
      <c r="H401" t="s">
        <v>406</v>
      </c>
      <c r="I401" t="s">
        <v>410</v>
      </c>
      <c r="J401" t="s">
        <v>358</v>
      </c>
      <c r="K401" t="s">
        <v>583</v>
      </c>
    </row>
    <row r="402" spans="1:11" x14ac:dyDescent="0.35">
      <c r="A402" t="s">
        <v>13</v>
      </c>
      <c r="B402" t="s">
        <v>267</v>
      </c>
      <c r="C402">
        <v>1856.76</v>
      </c>
      <c r="D402" t="s">
        <v>396</v>
      </c>
      <c r="E402">
        <v>1</v>
      </c>
      <c r="F402" t="s">
        <v>397</v>
      </c>
      <c r="G402" t="s">
        <v>402</v>
      </c>
      <c r="H402" t="s">
        <v>407</v>
      </c>
      <c r="I402" t="s">
        <v>410</v>
      </c>
      <c r="J402" t="s">
        <v>275</v>
      </c>
      <c r="K402" t="s">
        <v>582</v>
      </c>
    </row>
    <row r="403" spans="1:11" x14ac:dyDescent="0.35">
      <c r="A403" t="s">
        <v>41</v>
      </c>
      <c r="B403" t="s">
        <v>387</v>
      </c>
      <c r="C403">
        <v>4537.3900000000003</v>
      </c>
      <c r="D403" t="s">
        <v>394</v>
      </c>
      <c r="E403">
        <v>3</v>
      </c>
      <c r="F403" t="s">
        <v>401</v>
      </c>
      <c r="G403" t="s">
        <v>402</v>
      </c>
      <c r="H403" t="s">
        <v>405</v>
      </c>
      <c r="I403" t="s">
        <v>410</v>
      </c>
      <c r="J403" t="s">
        <v>275</v>
      </c>
      <c r="K403" t="s">
        <v>582</v>
      </c>
    </row>
    <row r="404" spans="1:11" x14ac:dyDescent="0.35">
      <c r="A404" t="s">
        <v>180</v>
      </c>
      <c r="B404" t="s">
        <v>289</v>
      </c>
      <c r="C404">
        <v>2066.36</v>
      </c>
      <c r="D404" t="s">
        <v>395</v>
      </c>
      <c r="E404">
        <v>5</v>
      </c>
      <c r="F404" t="s">
        <v>397</v>
      </c>
      <c r="G404" t="s">
        <v>403</v>
      </c>
      <c r="H404" t="s">
        <v>406</v>
      </c>
      <c r="I404" t="s">
        <v>410</v>
      </c>
      <c r="J404" t="s">
        <v>275</v>
      </c>
      <c r="K404" t="s">
        <v>582</v>
      </c>
    </row>
    <row r="405" spans="1:11" x14ac:dyDescent="0.35">
      <c r="A405" t="s">
        <v>100</v>
      </c>
      <c r="B405" t="s">
        <v>235</v>
      </c>
      <c r="C405">
        <v>4206.09</v>
      </c>
      <c r="D405" t="s">
        <v>395</v>
      </c>
      <c r="E405">
        <v>4</v>
      </c>
      <c r="F405" t="s">
        <v>397</v>
      </c>
      <c r="G405" t="s">
        <v>403</v>
      </c>
      <c r="H405" t="s">
        <v>404</v>
      </c>
      <c r="I405" t="s">
        <v>410</v>
      </c>
      <c r="J405" t="s">
        <v>275</v>
      </c>
      <c r="K405" t="s">
        <v>582</v>
      </c>
    </row>
    <row r="406" spans="1:11" x14ac:dyDescent="0.35">
      <c r="A406" t="s">
        <v>66</v>
      </c>
      <c r="B406" t="s">
        <v>362</v>
      </c>
      <c r="C406">
        <v>1318.21</v>
      </c>
      <c r="D406" t="s">
        <v>396</v>
      </c>
      <c r="E406">
        <v>2</v>
      </c>
      <c r="F406" t="s">
        <v>401</v>
      </c>
      <c r="G406" t="s">
        <v>402</v>
      </c>
      <c r="H406" t="s">
        <v>404</v>
      </c>
      <c r="I406" t="s">
        <v>410</v>
      </c>
      <c r="J406" t="s">
        <v>275</v>
      </c>
      <c r="K406" t="s">
        <v>582</v>
      </c>
    </row>
    <row r="407" spans="1:11" x14ac:dyDescent="0.35">
      <c r="A407" t="s">
        <v>17</v>
      </c>
      <c r="B407" t="s">
        <v>226</v>
      </c>
      <c r="C407">
        <v>207.71</v>
      </c>
      <c r="D407" t="s">
        <v>395</v>
      </c>
      <c r="E407">
        <v>3</v>
      </c>
      <c r="F407" t="s">
        <v>397</v>
      </c>
      <c r="G407" t="s">
        <v>403</v>
      </c>
      <c r="H407" t="s">
        <v>407</v>
      </c>
      <c r="I407" t="s">
        <v>409</v>
      </c>
      <c r="J407" t="s">
        <v>307</v>
      </c>
      <c r="K407" t="s">
        <v>582</v>
      </c>
    </row>
    <row r="408" spans="1:11" x14ac:dyDescent="0.35">
      <c r="A408" t="s">
        <v>46</v>
      </c>
      <c r="B408" t="s">
        <v>289</v>
      </c>
      <c r="C408">
        <v>4942.7</v>
      </c>
      <c r="D408" t="s">
        <v>391</v>
      </c>
      <c r="E408">
        <v>5</v>
      </c>
      <c r="F408" t="s">
        <v>397</v>
      </c>
      <c r="G408" t="s">
        <v>403</v>
      </c>
      <c r="H408" t="s">
        <v>404</v>
      </c>
      <c r="I408" t="s">
        <v>410</v>
      </c>
      <c r="J408" t="s">
        <v>307</v>
      </c>
      <c r="K408" t="s">
        <v>582</v>
      </c>
    </row>
    <row r="409" spans="1:11" x14ac:dyDescent="0.35">
      <c r="A409" t="s">
        <v>95</v>
      </c>
      <c r="B409" t="s">
        <v>296</v>
      </c>
      <c r="C409">
        <v>3952.94</v>
      </c>
      <c r="D409" t="s">
        <v>396</v>
      </c>
      <c r="E409">
        <v>5</v>
      </c>
      <c r="F409" t="s">
        <v>398</v>
      </c>
      <c r="G409" t="s">
        <v>402</v>
      </c>
      <c r="H409" t="s">
        <v>407</v>
      </c>
      <c r="I409" t="s">
        <v>410</v>
      </c>
      <c r="J409" t="s">
        <v>307</v>
      </c>
      <c r="K409" t="s">
        <v>582</v>
      </c>
    </row>
    <row r="410" spans="1:11" x14ac:dyDescent="0.35">
      <c r="A410" t="s">
        <v>140</v>
      </c>
      <c r="B410" t="s">
        <v>370</v>
      </c>
      <c r="C410">
        <v>1870.12</v>
      </c>
      <c r="D410" t="s">
        <v>391</v>
      </c>
      <c r="E410">
        <v>2</v>
      </c>
      <c r="F410" t="s">
        <v>400</v>
      </c>
      <c r="G410" t="s">
        <v>402</v>
      </c>
      <c r="H410" t="s">
        <v>405</v>
      </c>
      <c r="I410" t="s">
        <v>409</v>
      </c>
      <c r="J410" t="s">
        <v>307</v>
      </c>
      <c r="K410" t="s">
        <v>582</v>
      </c>
    </row>
    <row r="411" spans="1:11" x14ac:dyDescent="0.35">
      <c r="A411" t="s">
        <v>66</v>
      </c>
      <c r="B411" t="s">
        <v>348</v>
      </c>
      <c r="C411">
        <v>2154.29</v>
      </c>
      <c r="D411" t="s">
        <v>391</v>
      </c>
      <c r="E411">
        <v>4</v>
      </c>
      <c r="F411" t="s">
        <v>397</v>
      </c>
      <c r="G411" t="s">
        <v>403</v>
      </c>
      <c r="H411" t="s">
        <v>404</v>
      </c>
      <c r="I411" t="s">
        <v>410</v>
      </c>
      <c r="J411" t="s">
        <v>307</v>
      </c>
      <c r="K411" t="s">
        <v>582</v>
      </c>
    </row>
    <row r="412" spans="1:11" x14ac:dyDescent="0.35">
      <c r="A412" t="s">
        <v>20</v>
      </c>
      <c r="B412" t="s">
        <v>264</v>
      </c>
      <c r="C412">
        <v>2630</v>
      </c>
      <c r="D412" t="s">
        <v>391</v>
      </c>
      <c r="E412">
        <v>1</v>
      </c>
      <c r="F412" t="s">
        <v>397</v>
      </c>
      <c r="G412" t="s">
        <v>403</v>
      </c>
      <c r="H412" t="s">
        <v>406</v>
      </c>
      <c r="I412" t="s">
        <v>410</v>
      </c>
      <c r="J412" t="s">
        <v>263</v>
      </c>
      <c r="K412" t="s">
        <v>583</v>
      </c>
    </row>
    <row r="413" spans="1:11" x14ac:dyDescent="0.35">
      <c r="A413" t="s">
        <v>71</v>
      </c>
      <c r="B413" t="s">
        <v>268</v>
      </c>
      <c r="C413">
        <v>1420.76</v>
      </c>
      <c r="D413" t="s">
        <v>395</v>
      </c>
      <c r="E413">
        <v>5</v>
      </c>
      <c r="F413" t="s">
        <v>399</v>
      </c>
      <c r="G413" t="s">
        <v>403</v>
      </c>
      <c r="H413" t="s">
        <v>405</v>
      </c>
      <c r="I413" t="s">
        <v>409</v>
      </c>
      <c r="J413" t="s">
        <v>263</v>
      </c>
      <c r="K413" t="s">
        <v>583</v>
      </c>
    </row>
    <row r="414" spans="1:11" x14ac:dyDescent="0.35">
      <c r="A414" t="s">
        <v>100</v>
      </c>
      <c r="B414" t="s">
        <v>285</v>
      </c>
      <c r="C414">
        <v>3398.11</v>
      </c>
      <c r="D414" t="s">
        <v>394</v>
      </c>
      <c r="E414">
        <v>4</v>
      </c>
      <c r="F414" t="s">
        <v>400</v>
      </c>
      <c r="G414" t="s">
        <v>402</v>
      </c>
      <c r="H414" t="s">
        <v>405</v>
      </c>
      <c r="I414" t="s">
        <v>410</v>
      </c>
      <c r="J414" t="s">
        <v>263</v>
      </c>
      <c r="K414" t="s">
        <v>582</v>
      </c>
    </row>
    <row r="415" spans="1:11" x14ac:dyDescent="0.35">
      <c r="A415" t="s">
        <v>68</v>
      </c>
      <c r="B415" t="s">
        <v>239</v>
      </c>
      <c r="C415">
        <v>2050.8200000000002</v>
      </c>
      <c r="D415" t="s">
        <v>395</v>
      </c>
      <c r="E415">
        <v>5</v>
      </c>
      <c r="F415" t="s">
        <v>401</v>
      </c>
      <c r="G415" t="s">
        <v>403</v>
      </c>
      <c r="H415" t="s">
        <v>404</v>
      </c>
      <c r="I415" t="s">
        <v>409</v>
      </c>
      <c r="J415" t="s">
        <v>263</v>
      </c>
      <c r="K415" t="s">
        <v>582</v>
      </c>
    </row>
    <row r="416" spans="1:11" x14ac:dyDescent="0.35">
      <c r="A416" t="s">
        <v>124</v>
      </c>
      <c r="B416" t="s">
        <v>274</v>
      </c>
      <c r="C416">
        <v>4377.05</v>
      </c>
      <c r="D416" t="s">
        <v>391</v>
      </c>
      <c r="E416">
        <v>5</v>
      </c>
      <c r="F416" t="s">
        <v>400</v>
      </c>
      <c r="G416" t="s">
        <v>402</v>
      </c>
      <c r="H416" t="s">
        <v>406</v>
      </c>
      <c r="I416" t="s">
        <v>410</v>
      </c>
      <c r="J416" t="s">
        <v>263</v>
      </c>
      <c r="K416" t="s">
        <v>582</v>
      </c>
    </row>
    <row r="417" spans="1:11" x14ac:dyDescent="0.35">
      <c r="A417" t="s">
        <v>57</v>
      </c>
      <c r="B417" t="s">
        <v>259</v>
      </c>
      <c r="C417">
        <v>145.76</v>
      </c>
      <c r="D417" t="s">
        <v>393</v>
      </c>
      <c r="E417">
        <v>3</v>
      </c>
      <c r="F417" t="s">
        <v>400</v>
      </c>
      <c r="G417" t="s">
        <v>403</v>
      </c>
      <c r="H417" t="s">
        <v>406</v>
      </c>
      <c r="I417" t="s">
        <v>410</v>
      </c>
      <c r="J417" t="s">
        <v>255</v>
      </c>
      <c r="K417" t="s">
        <v>583</v>
      </c>
    </row>
    <row r="418" spans="1:11" x14ac:dyDescent="0.35">
      <c r="A418" t="s">
        <v>151</v>
      </c>
      <c r="B418" t="s">
        <v>300</v>
      </c>
      <c r="C418">
        <v>1707.72</v>
      </c>
      <c r="D418" t="s">
        <v>396</v>
      </c>
      <c r="E418">
        <v>4</v>
      </c>
      <c r="F418" t="s">
        <v>399</v>
      </c>
      <c r="G418" t="s">
        <v>402</v>
      </c>
      <c r="H418" t="s">
        <v>407</v>
      </c>
      <c r="I418" t="s">
        <v>410</v>
      </c>
      <c r="J418" t="s">
        <v>255</v>
      </c>
      <c r="K418" t="s">
        <v>582</v>
      </c>
    </row>
    <row r="419" spans="1:11" x14ac:dyDescent="0.35">
      <c r="A419" t="s">
        <v>131</v>
      </c>
      <c r="B419" t="s">
        <v>246</v>
      </c>
      <c r="C419">
        <v>1473.77</v>
      </c>
      <c r="D419" t="s">
        <v>392</v>
      </c>
      <c r="E419">
        <v>1</v>
      </c>
      <c r="F419" t="s">
        <v>400</v>
      </c>
      <c r="G419" t="s">
        <v>402</v>
      </c>
      <c r="H419" t="s">
        <v>408</v>
      </c>
      <c r="I419" t="s">
        <v>409</v>
      </c>
      <c r="J419" t="s">
        <v>255</v>
      </c>
      <c r="K419" t="s">
        <v>583</v>
      </c>
    </row>
    <row r="420" spans="1:11" x14ac:dyDescent="0.35">
      <c r="A420" t="s">
        <v>79</v>
      </c>
      <c r="B420" t="s">
        <v>276</v>
      </c>
      <c r="C420">
        <v>1393.98</v>
      </c>
      <c r="D420" t="s">
        <v>394</v>
      </c>
      <c r="E420">
        <v>1</v>
      </c>
      <c r="F420" t="s">
        <v>400</v>
      </c>
      <c r="G420" t="s">
        <v>403</v>
      </c>
      <c r="H420" t="s">
        <v>408</v>
      </c>
      <c r="I420" t="s">
        <v>409</v>
      </c>
      <c r="J420" t="s">
        <v>344</v>
      </c>
      <c r="K420" t="s">
        <v>583</v>
      </c>
    </row>
    <row r="421" spans="1:11" x14ac:dyDescent="0.35">
      <c r="A421" t="s">
        <v>96</v>
      </c>
      <c r="B421" t="s">
        <v>227</v>
      </c>
      <c r="C421">
        <v>3941.34</v>
      </c>
      <c r="D421" t="s">
        <v>396</v>
      </c>
      <c r="E421">
        <v>4</v>
      </c>
      <c r="F421" t="s">
        <v>399</v>
      </c>
      <c r="G421" t="s">
        <v>403</v>
      </c>
      <c r="H421" t="s">
        <v>404</v>
      </c>
      <c r="I421" t="s">
        <v>409</v>
      </c>
      <c r="J421" t="s">
        <v>344</v>
      </c>
      <c r="K421" t="s">
        <v>583</v>
      </c>
    </row>
    <row r="422" spans="1:11" x14ac:dyDescent="0.35">
      <c r="A422" t="s">
        <v>21</v>
      </c>
      <c r="B422" t="s">
        <v>213</v>
      </c>
      <c r="C422">
        <v>2039.56</v>
      </c>
      <c r="D422" t="s">
        <v>395</v>
      </c>
      <c r="E422">
        <v>4</v>
      </c>
      <c r="F422" t="s">
        <v>399</v>
      </c>
      <c r="G422" t="s">
        <v>402</v>
      </c>
      <c r="H422" t="s">
        <v>405</v>
      </c>
      <c r="I422" t="s">
        <v>409</v>
      </c>
      <c r="J422" t="s">
        <v>344</v>
      </c>
      <c r="K422" t="s">
        <v>582</v>
      </c>
    </row>
    <row r="423" spans="1:11" x14ac:dyDescent="0.35">
      <c r="A423" t="s">
        <v>85</v>
      </c>
      <c r="B423" t="s">
        <v>281</v>
      </c>
      <c r="C423">
        <v>3076.3</v>
      </c>
      <c r="D423" t="s">
        <v>394</v>
      </c>
      <c r="E423">
        <v>1</v>
      </c>
      <c r="F423" t="s">
        <v>398</v>
      </c>
      <c r="G423" t="s">
        <v>403</v>
      </c>
      <c r="H423" t="s">
        <v>406</v>
      </c>
      <c r="I423" t="s">
        <v>409</v>
      </c>
      <c r="J423" t="s">
        <v>228</v>
      </c>
      <c r="K423" t="s">
        <v>583</v>
      </c>
    </row>
    <row r="424" spans="1:11" x14ac:dyDescent="0.35">
      <c r="A424" t="s">
        <v>83</v>
      </c>
      <c r="B424" t="s">
        <v>285</v>
      </c>
      <c r="C424">
        <v>2505.98</v>
      </c>
      <c r="D424" t="s">
        <v>393</v>
      </c>
      <c r="E424">
        <v>1</v>
      </c>
      <c r="F424" t="s">
        <v>401</v>
      </c>
      <c r="G424" t="s">
        <v>402</v>
      </c>
      <c r="H424" t="s">
        <v>407</v>
      </c>
      <c r="I424" t="s">
        <v>409</v>
      </c>
      <c r="J424" t="s">
        <v>228</v>
      </c>
      <c r="K424" t="s">
        <v>582</v>
      </c>
    </row>
    <row r="425" spans="1:11" x14ac:dyDescent="0.35">
      <c r="A425" t="s">
        <v>181</v>
      </c>
      <c r="B425" t="s">
        <v>294</v>
      </c>
      <c r="C425">
        <v>2517.92</v>
      </c>
      <c r="D425" t="s">
        <v>394</v>
      </c>
      <c r="E425">
        <v>2</v>
      </c>
      <c r="F425" t="s">
        <v>401</v>
      </c>
      <c r="G425" t="s">
        <v>403</v>
      </c>
      <c r="H425" t="s">
        <v>404</v>
      </c>
      <c r="I425" t="s">
        <v>410</v>
      </c>
      <c r="J425" t="s">
        <v>228</v>
      </c>
      <c r="K425" t="s">
        <v>582</v>
      </c>
    </row>
    <row r="426" spans="1:11" x14ac:dyDescent="0.35">
      <c r="A426" t="s">
        <v>122</v>
      </c>
      <c r="B426" t="s">
        <v>320</v>
      </c>
      <c r="C426">
        <v>3482.22</v>
      </c>
      <c r="D426" t="s">
        <v>394</v>
      </c>
      <c r="E426">
        <v>3</v>
      </c>
      <c r="F426" t="s">
        <v>399</v>
      </c>
      <c r="G426" t="s">
        <v>402</v>
      </c>
      <c r="H426" t="s">
        <v>405</v>
      </c>
      <c r="I426" t="s">
        <v>409</v>
      </c>
      <c r="J426" t="s">
        <v>228</v>
      </c>
      <c r="K426" t="s">
        <v>582</v>
      </c>
    </row>
    <row r="427" spans="1:11" x14ac:dyDescent="0.35">
      <c r="A427" t="s">
        <v>161</v>
      </c>
      <c r="B427" t="s">
        <v>348</v>
      </c>
      <c r="C427">
        <v>299.72000000000003</v>
      </c>
      <c r="D427" t="s">
        <v>392</v>
      </c>
      <c r="E427">
        <v>1</v>
      </c>
      <c r="F427" t="s">
        <v>401</v>
      </c>
      <c r="G427" t="s">
        <v>403</v>
      </c>
      <c r="H427" t="s">
        <v>405</v>
      </c>
      <c r="I427" t="s">
        <v>409</v>
      </c>
      <c r="J427" t="s">
        <v>390</v>
      </c>
      <c r="K427" t="s">
        <v>583</v>
      </c>
    </row>
    <row r="428" spans="1:11" x14ac:dyDescent="0.35">
      <c r="A428" t="s">
        <v>186</v>
      </c>
      <c r="B428" t="s">
        <v>272</v>
      </c>
      <c r="C428">
        <v>1082.96</v>
      </c>
      <c r="D428" t="s">
        <v>395</v>
      </c>
      <c r="E428">
        <v>2</v>
      </c>
      <c r="F428" t="s">
        <v>397</v>
      </c>
      <c r="G428" t="s">
        <v>402</v>
      </c>
      <c r="H428" t="s">
        <v>407</v>
      </c>
      <c r="I428" t="s">
        <v>409</v>
      </c>
      <c r="J428" t="s">
        <v>390</v>
      </c>
      <c r="K428" t="s">
        <v>583</v>
      </c>
    </row>
    <row r="429" spans="1:11" x14ac:dyDescent="0.35">
      <c r="A429" t="s">
        <v>46</v>
      </c>
      <c r="B429" t="s">
        <v>305</v>
      </c>
      <c r="C429">
        <v>2801.04</v>
      </c>
      <c r="D429" t="s">
        <v>396</v>
      </c>
      <c r="E429">
        <v>5</v>
      </c>
      <c r="F429" t="s">
        <v>400</v>
      </c>
      <c r="G429" t="s">
        <v>403</v>
      </c>
      <c r="H429" t="s">
        <v>405</v>
      </c>
      <c r="I429" t="s">
        <v>409</v>
      </c>
      <c r="J429" t="s">
        <v>390</v>
      </c>
      <c r="K429" t="s">
        <v>583</v>
      </c>
    </row>
    <row r="430" spans="1:11" x14ac:dyDescent="0.35">
      <c r="A430" t="s">
        <v>195</v>
      </c>
      <c r="B430" t="s">
        <v>382</v>
      </c>
      <c r="C430">
        <v>1987.51</v>
      </c>
      <c r="D430" t="s">
        <v>391</v>
      </c>
      <c r="E430">
        <v>5</v>
      </c>
      <c r="F430" t="s">
        <v>401</v>
      </c>
      <c r="G430" t="s">
        <v>402</v>
      </c>
      <c r="H430" t="s">
        <v>405</v>
      </c>
      <c r="I430" t="s">
        <v>409</v>
      </c>
      <c r="J430" t="s">
        <v>390</v>
      </c>
      <c r="K430" t="s">
        <v>582</v>
      </c>
    </row>
    <row r="431" spans="1:11" x14ac:dyDescent="0.35">
      <c r="A431" t="s">
        <v>144</v>
      </c>
      <c r="B431" t="s">
        <v>376</v>
      </c>
      <c r="C431">
        <v>3488.55</v>
      </c>
      <c r="D431" t="s">
        <v>396</v>
      </c>
      <c r="E431">
        <v>5</v>
      </c>
      <c r="F431" t="s">
        <v>401</v>
      </c>
      <c r="G431" t="s">
        <v>402</v>
      </c>
      <c r="H431" t="s">
        <v>406</v>
      </c>
      <c r="I431" t="s">
        <v>410</v>
      </c>
      <c r="J431" t="s">
        <v>390</v>
      </c>
      <c r="K431" t="s">
        <v>583</v>
      </c>
    </row>
    <row r="432" spans="1:11" x14ac:dyDescent="0.35">
      <c r="A432" t="s">
        <v>49</v>
      </c>
      <c r="B432" t="s">
        <v>272</v>
      </c>
      <c r="C432">
        <v>2148.9299999999998</v>
      </c>
      <c r="D432" t="s">
        <v>393</v>
      </c>
      <c r="E432">
        <v>3</v>
      </c>
      <c r="F432" t="s">
        <v>397</v>
      </c>
      <c r="G432" t="s">
        <v>403</v>
      </c>
      <c r="H432" t="s">
        <v>406</v>
      </c>
      <c r="I432" t="s">
        <v>409</v>
      </c>
      <c r="J432" t="s">
        <v>390</v>
      </c>
      <c r="K432" t="s">
        <v>583</v>
      </c>
    </row>
    <row r="433" spans="1:11" x14ac:dyDescent="0.35">
      <c r="A433" t="s">
        <v>62</v>
      </c>
      <c r="B433" t="s">
        <v>258</v>
      </c>
      <c r="C433">
        <v>3172.87</v>
      </c>
      <c r="D433" t="s">
        <v>396</v>
      </c>
      <c r="E433">
        <v>1</v>
      </c>
      <c r="F433" t="s">
        <v>398</v>
      </c>
      <c r="G433" t="s">
        <v>403</v>
      </c>
      <c r="H433" t="s">
        <v>404</v>
      </c>
      <c r="I433" t="s">
        <v>410</v>
      </c>
      <c r="J433" t="s">
        <v>436</v>
      </c>
      <c r="K433" t="s">
        <v>583</v>
      </c>
    </row>
    <row r="434" spans="1:11" x14ac:dyDescent="0.35">
      <c r="A434" t="s">
        <v>77</v>
      </c>
      <c r="B434" t="s">
        <v>273</v>
      </c>
      <c r="C434">
        <v>4736.04</v>
      </c>
      <c r="D434" t="s">
        <v>396</v>
      </c>
      <c r="E434">
        <v>5</v>
      </c>
      <c r="F434" t="s">
        <v>398</v>
      </c>
      <c r="G434" t="s">
        <v>402</v>
      </c>
      <c r="H434" t="s">
        <v>405</v>
      </c>
      <c r="I434" t="s">
        <v>409</v>
      </c>
      <c r="J434" t="s">
        <v>436</v>
      </c>
      <c r="K434" t="s">
        <v>583</v>
      </c>
    </row>
    <row r="435" spans="1:11" x14ac:dyDescent="0.35">
      <c r="A435" t="s">
        <v>56</v>
      </c>
      <c r="B435" t="s">
        <v>295</v>
      </c>
      <c r="C435">
        <v>3695.63</v>
      </c>
      <c r="D435" t="s">
        <v>392</v>
      </c>
      <c r="E435">
        <v>2</v>
      </c>
      <c r="F435" t="s">
        <v>397</v>
      </c>
      <c r="G435" t="s">
        <v>402</v>
      </c>
      <c r="H435" t="s">
        <v>404</v>
      </c>
      <c r="I435" t="s">
        <v>409</v>
      </c>
      <c r="J435" t="s">
        <v>436</v>
      </c>
      <c r="K435" t="s">
        <v>583</v>
      </c>
    </row>
    <row r="436" spans="1:11" x14ac:dyDescent="0.35">
      <c r="A436" t="s">
        <v>125</v>
      </c>
      <c r="B436" t="s">
        <v>269</v>
      </c>
      <c r="C436">
        <v>2613.83</v>
      </c>
      <c r="D436" t="s">
        <v>395</v>
      </c>
      <c r="E436">
        <v>3</v>
      </c>
      <c r="F436" t="s">
        <v>399</v>
      </c>
      <c r="G436" t="s">
        <v>403</v>
      </c>
      <c r="H436" t="s">
        <v>404</v>
      </c>
      <c r="I436" t="s">
        <v>409</v>
      </c>
      <c r="J436" t="s">
        <v>436</v>
      </c>
      <c r="K436" t="s">
        <v>583</v>
      </c>
    </row>
    <row r="437" spans="1:11" x14ac:dyDescent="0.35">
      <c r="A437" t="s">
        <v>141</v>
      </c>
      <c r="B437" t="s">
        <v>294</v>
      </c>
      <c r="C437">
        <v>1978.71</v>
      </c>
      <c r="D437" t="s">
        <v>395</v>
      </c>
      <c r="E437">
        <v>5</v>
      </c>
      <c r="F437" t="s">
        <v>397</v>
      </c>
      <c r="G437" t="s">
        <v>403</v>
      </c>
      <c r="H437" t="s">
        <v>407</v>
      </c>
      <c r="I437" t="s">
        <v>410</v>
      </c>
      <c r="J437" t="s">
        <v>436</v>
      </c>
      <c r="K437" t="s">
        <v>583</v>
      </c>
    </row>
    <row r="438" spans="1:11" x14ac:dyDescent="0.35">
      <c r="A438" t="s">
        <v>59</v>
      </c>
      <c r="B438" t="s">
        <v>256</v>
      </c>
      <c r="C438">
        <v>910.17</v>
      </c>
      <c r="D438" t="s">
        <v>392</v>
      </c>
      <c r="E438">
        <v>4</v>
      </c>
      <c r="F438" t="s">
        <v>401</v>
      </c>
      <c r="G438" t="s">
        <v>402</v>
      </c>
      <c r="H438" t="s">
        <v>404</v>
      </c>
      <c r="I438" t="s">
        <v>409</v>
      </c>
      <c r="J438" t="s">
        <v>435</v>
      </c>
      <c r="K438" t="s">
        <v>583</v>
      </c>
    </row>
    <row r="439" spans="1:11" x14ac:dyDescent="0.35">
      <c r="A439" t="s">
        <v>159</v>
      </c>
      <c r="B439" t="s">
        <v>354</v>
      </c>
      <c r="C439">
        <v>1197.94</v>
      </c>
      <c r="D439" t="s">
        <v>395</v>
      </c>
      <c r="E439">
        <v>4</v>
      </c>
      <c r="F439" t="s">
        <v>401</v>
      </c>
      <c r="G439" t="s">
        <v>402</v>
      </c>
      <c r="H439" t="s">
        <v>404</v>
      </c>
      <c r="I439" t="s">
        <v>410</v>
      </c>
      <c r="J439" t="s">
        <v>435</v>
      </c>
      <c r="K439" t="s">
        <v>583</v>
      </c>
    </row>
    <row r="440" spans="1:11" x14ac:dyDescent="0.35">
      <c r="A440" t="s">
        <v>19</v>
      </c>
      <c r="B440" t="s">
        <v>210</v>
      </c>
      <c r="C440">
        <v>254.38</v>
      </c>
      <c r="D440" t="s">
        <v>392</v>
      </c>
      <c r="E440">
        <v>1</v>
      </c>
      <c r="F440" t="s">
        <v>399</v>
      </c>
      <c r="G440" t="s">
        <v>402</v>
      </c>
      <c r="H440" t="s">
        <v>408</v>
      </c>
      <c r="I440" t="s">
        <v>410</v>
      </c>
      <c r="J440" t="s">
        <v>435</v>
      </c>
      <c r="K440" t="s">
        <v>583</v>
      </c>
    </row>
    <row r="441" spans="1:11" x14ac:dyDescent="0.35">
      <c r="A441" t="s">
        <v>157</v>
      </c>
      <c r="B441" t="s">
        <v>292</v>
      </c>
      <c r="C441">
        <v>2691.3</v>
      </c>
      <c r="D441" t="s">
        <v>394</v>
      </c>
      <c r="E441">
        <v>2</v>
      </c>
      <c r="F441" t="s">
        <v>397</v>
      </c>
      <c r="G441" t="s">
        <v>403</v>
      </c>
      <c r="H441" t="s">
        <v>407</v>
      </c>
      <c r="I441" t="s">
        <v>410</v>
      </c>
      <c r="J441" t="s">
        <v>435</v>
      </c>
      <c r="K441" t="s">
        <v>583</v>
      </c>
    </row>
    <row r="442" spans="1:11" x14ac:dyDescent="0.35">
      <c r="A442" t="s">
        <v>30</v>
      </c>
      <c r="B442" t="s">
        <v>306</v>
      </c>
      <c r="C442">
        <v>109.72</v>
      </c>
      <c r="D442" t="s">
        <v>391</v>
      </c>
      <c r="E442">
        <v>5</v>
      </c>
      <c r="F442" t="s">
        <v>401</v>
      </c>
      <c r="G442" t="s">
        <v>403</v>
      </c>
      <c r="H442" t="s">
        <v>406</v>
      </c>
      <c r="I442" t="s">
        <v>409</v>
      </c>
      <c r="J442" t="s">
        <v>435</v>
      </c>
      <c r="K442" t="s">
        <v>583</v>
      </c>
    </row>
    <row r="443" spans="1:11" x14ac:dyDescent="0.35">
      <c r="A443" t="s">
        <v>59</v>
      </c>
      <c r="B443" t="s">
        <v>309</v>
      </c>
      <c r="C443">
        <v>4937.8500000000004</v>
      </c>
      <c r="D443" t="s">
        <v>395</v>
      </c>
      <c r="E443">
        <v>2</v>
      </c>
      <c r="F443" t="s">
        <v>397</v>
      </c>
      <c r="G443" t="s">
        <v>402</v>
      </c>
      <c r="H443" t="s">
        <v>408</v>
      </c>
      <c r="I443" t="s">
        <v>410</v>
      </c>
      <c r="J443" t="s">
        <v>435</v>
      </c>
      <c r="K443" t="s">
        <v>583</v>
      </c>
    </row>
    <row r="444" spans="1:11" x14ac:dyDescent="0.35">
      <c r="A444" t="s">
        <v>149</v>
      </c>
      <c r="B444" t="s">
        <v>286</v>
      </c>
      <c r="C444">
        <v>3902.14</v>
      </c>
      <c r="D444" t="s">
        <v>396</v>
      </c>
      <c r="E444">
        <v>2</v>
      </c>
      <c r="F444" t="s">
        <v>401</v>
      </c>
      <c r="G444" t="s">
        <v>403</v>
      </c>
      <c r="H444" t="s">
        <v>405</v>
      </c>
      <c r="I444" t="s">
        <v>409</v>
      </c>
      <c r="J444" t="s">
        <v>435</v>
      </c>
      <c r="K444" t="s">
        <v>583</v>
      </c>
    </row>
    <row r="445" spans="1:11" x14ac:dyDescent="0.35">
      <c r="A445" t="s">
        <v>82</v>
      </c>
      <c r="B445" t="s">
        <v>276</v>
      </c>
      <c r="C445">
        <v>4536.97</v>
      </c>
      <c r="D445" t="s">
        <v>391</v>
      </c>
      <c r="E445">
        <v>5</v>
      </c>
      <c r="F445" t="s">
        <v>397</v>
      </c>
      <c r="G445" t="s">
        <v>402</v>
      </c>
      <c r="H445" t="s">
        <v>408</v>
      </c>
      <c r="I445" t="s">
        <v>409</v>
      </c>
      <c r="J445" t="s">
        <v>435</v>
      </c>
      <c r="K445" t="s">
        <v>582</v>
      </c>
    </row>
    <row r="446" spans="1:11" x14ac:dyDescent="0.35">
      <c r="A446" t="s">
        <v>183</v>
      </c>
      <c r="B446" t="s">
        <v>230</v>
      </c>
      <c r="C446">
        <v>4340.88</v>
      </c>
      <c r="D446" t="s">
        <v>395</v>
      </c>
      <c r="E446">
        <v>3</v>
      </c>
      <c r="F446" t="s">
        <v>397</v>
      </c>
      <c r="G446" t="s">
        <v>403</v>
      </c>
      <c r="H446" t="s">
        <v>406</v>
      </c>
      <c r="I446" t="s">
        <v>410</v>
      </c>
      <c r="J446" t="s">
        <v>567</v>
      </c>
      <c r="K446" t="s">
        <v>583</v>
      </c>
    </row>
    <row r="447" spans="1:11" x14ac:dyDescent="0.35">
      <c r="A447" t="s">
        <v>133</v>
      </c>
      <c r="B447" t="s">
        <v>335</v>
      </c>
      <c r="C447">
        <v>1473.1</v>
      </c>
      <c r="D447" t="s">
        <v>395</v>
      </c>
      <c r="E447">
        <v>1</v>
      </c>
      <c r="F447" t="s">
        <v>398</v>
      </c>
      <c r="G447" t="s">
        <v>403</v>
      </c>
      <c r="H447" t="s">
        <v>407</v>
      </c>
      <c r="I447" t="s">
        <v>410</v>
      </c>
      <c r="J447" t="s">
        <v>567</v>
      </c>
      <c r="K447" t="s">
        <v>582</v>
      </c>
    </row>
    <row r="448" spans="1:11" x14ac:dyDescent="0.35">
      <c r="A448" t="s">
        <v>81</v>
      </c>
      <c r="B448" t="s">
        <v>243</v>
      </c>
      <c r="C448">
        <v>1958.69</v>
      </c>
      <c r="D448" t="s">
        <v>394</v>
      </c>
      <c r="E448">
        <v>1</v>
      </c>
      <c r="F448" t="s">
        <v>398</v>
      </c>
      <c r="G448" t="s">
        <v>403</v>
      </c>
      <c r="H448" t="s">
        <v>407</v>
      </c>
      <c r="I448" t="s">
        <v>410</v>
      </c>
      <c r="J448" t="s">
        <v>444</v>
      </c>
      <c r="K448" t="s">
        <v>582</v>
      </c>
    </row>
    <row r="449" spans="1:11" x14ac:dyDescent="0.35">
      <c r="A449" t="s">
        <v>157</v>
      </c>
      <c r="B449" t="s">
        <v>351</v>
      </c>
      <c r="C449">
        <v>1976.27</v>
      </c>
      <c r="D449" t="s">
        <v>394</v>
      </c>
      <c r="E449">
        <v>1</v>
      </c>
      <c r="F449" t="s">
        <v>398</v>
      </c>
      <c r="G449" t="s">
        <v>402</v>
      </c>
      <c r="H449" t="s">
        <v>408</v>
      </c>
      <c r="I449" t="s">
        <v>409</v>
      </c>
      <c r="J449" t="s">
        <v>444</v>
      </c>
      <c r="K449" t="s">
        <v>582</v>
      </c>
    </row>
    <row r="450" spans="1:11" x14ac:dyDescent="0.35">
      <c r="A450" t="s">
        <v>193</v>
      </c>
      <c r="B450" t="s">
        <v>375</v>
      </c>
      <c r="C450">
        <v>1122.2</v>
      </c>
      <c r="D450" t="s">
        <v>392</v>
      </c>
      <c r="E450">
        <v>4</v>
      </c>
      <c r="F450" t="s">
        <v>401</v>
      </c>
      <c r="G450" t="s">
        <v>403</v>
      </c>
      <c r="H450" t="s">
        <v>406</v>
      </c>
      <c r="I450" t="s">
        <v>409</v>
      </c>
      <c r="J450" t="s">
        <v>444</v>
      </c>
      <c r="K450" t="s">
        <v>582</v>
      </c>
    </row>
    <row r="451" spans="1:11" x14ac:dyDescent="0.35">
      <c r="A451" t="s">
        <v>104</v>
      </c>
      <c r="B451" t="s">
        <v>301</v>
      </c>
      <c r="C451">
        <v>4426.4399999999996</v>
      </c>
      <c r="D451" t="s">
        <v>393</v>
      </c>
      <c r="E451">
        <v>1</v>
      </c>
      <c r="F451" t="s">
        <v>397</v>
      </c>
      <c r="G451" t="s">
        <v>403</v>
      </c>
      <c r="H451" t="s">
        <v>405</v>
      </c>
      <c r="I451" t="s">
        <v>410</v>
      </c>
      <c r="J451" t="s">
        <v>463</v>
      </c>
      <c r="K451" t="s">
        <v>583</v>
      </c>
    </row>
    <row r="452" spans="1:11" x14ac:dyDescent="0.35">
      <c r="A452" t="s">
        <v>55</v>
      </c>
      <c r="B452" t="s">
        <v>280</v>
      </c>
      <c r="C452">
        <v>3139.45</v>
      </c>
      <c r="D452" t="s">
        <v>395</v>
      </c>
      <c r="E452">
        <v>3</v>
      </c>
      <c r="F452" t="s">
        <v>401</v>
      </c>
      <c r="G452" t="s">
        <v>402</v>
      </c>
      <c r="H452" t="s">
        <v>408</v>
      </c>
      <c r="I452" t="s">
        <v>409</v>
      </c>
      <c r="J452" t="s">
        <v>463</v>
      </c>
      <c r="K452" t="s">
        <v>582</v>
      </c>
    </row>
    <row r="453" spans="1:11" x14ac:dyDescent="0.35">
      <c r="A453" t="s">
        <v>145</v>
      </c>
      <c r="B453" t="s">
        <v>280</v>
      </c>
      <c r="C453">
        <v>2912.15</v>
      </c>
      <c r="D453" t="s">
        <v>391</v>
      </c>
      <c r="E453">
        <v>1</v>
      </c>
      <c r="F453" t="s">
        <v>397</v>
      </c>
      <c r="G453" t="s">
        <v>402</v>
      </c>
      <c r="H453" t="s">
        <v>404</v>
      </c>
      <c r="I453" t="s">
        <v>409</v>
      </c>
      <c r="J453" t="s">
        <v>463</v>
      </c>
      <c r="K453" t="s">
        <v>582</v>
      </c>
    </row>
    <row r="454" spans="1:11" x14ac:dyDescent="0.35">
      <c r="A454" t="s">
        <v>163</v>
      </c>
      <c r="B454" t="s">
        <v>313</v>
      </c>
      <c r="C454">
        <v>2579.6999999999998</v>
      </c>
      <c r="D454" t="s">
        <v>392</v>
      </c>
      <c r="E454">
        <v>2</v>
      </c>
      <c r="F454" t="s">
        <v>400</v>
      </c>
      <c r="G454" t="s">
        <v>402</v>
      </c>
      <c r="H454" t="s">
        <v>405</v>
      </c>
      <c r="I454" t="s">
        <v>409</v>
      </c>
      <c r="J454" t="s">
        <v>463</v>
      </c>
      <c r="K454" t="s">
        <v>582</v>
      </c>
    </row>
    <row r="455" spans="1:11" x14ac:dyDescent="0.35">
      <c r="A455" t="s">
        <v>21</v>
      </c>
      <c r="B455" t="s">
        <v>215</v>
      </c>
      <c r="C455">
        <v>713.01</v>
      </c>
      <c r="D455" t="s">
        <v>391</v>
      </c>
      <c r="E455">
        <v>2</v>
      </c>
      <c r="F455" t="s">
        <v>398</v>
      </c>
      <c r="G455" t="s">
        <v>403</v>
      </c>
      <c r="H455" t="s">
        <v>407</v>
      </c>
      <c r="I455" t="s">
        <v>409</v>
      </c>
      <c r="J455" t="s">
        <v>463</v>
      </c>
      <c r="K455" t="s">
        <v>582</v>
      </c>
    </row>
    <row r="456" spans="1:11" x14ac:dyDescent="0.35">
      <c r="A456" t="s">
        <v>15</v>
      </c>
      <c r="B456" t="s">
        <v>235</v>
      </c>
      <c r="C456">
        <v>4078.61</v>
      </c>
      <c r="D456" t="s">
        <v>392</v>
      </c>
      <c r="E456">
        <v>4</v>
      </c>
      <c r="F456" t="s">
        <v>399</v>
      </c>
      <c r="G456" t="s">
        <v>403</v>
      </c>
      <c r="H456" t="s">
        <v>404</v>
      </c>
      <c r="I456" t="s">
        <v>409</v>
      </c>
      <c r="J456" t="s">
        <v>429</v>
      </c>
      <c r="K456" t="s">
        <v>583</v>
      </c>
    </row>
    <row r="457" spans="1:11" x14ac:dyDescent="0.35">
      <c r="A457" t="s">
        <v>47</v>
      </c>
      <c r="B457" t="s">
        <v>305</v>
      </c>
      <c r="C457">
        <v>2633.02</v>
      </c>
      <c r="D457" t="s">
        <v>392</v>
      </c>
      <c r="E457">
        <v>3</v>
      </c>
      <c r="F457" t="s">
        <v>398</v>
      </c>
      <c r="G457" t="s">
        <v>403</v>
      </c>
      <c r="H457" t="s">
        <v>408</v>
      </c>
      <c r="I457" t="s">
        <v>409</v>
      </c>
      <c r="J457" t="s">
        <v>429</v>
      </c>
      <c r="K457" t="s">
        <v>583</v>
      </c>
    </row>
    <row r="458" spans="1:11" x14ac:dyDescent="0.35">
      <c r="A458" t="s">
        <v>20</v>
      </c>
      <c r="B458" t="s">
        <v>329</v>
      </c>
      <c r="C458">
        <v>4371.55</v>
      </c>
      <c r="D458" t="s">
        <v>391</v>
      </c>
      <c r="E458">
        <v>1</v>
      </c>
      <c r="F458" t="s">
        <v>398</v>
      </c>
      <c r="G458" t="s">
        <v>402</v>
      </c>
      <c r="H458" t="s">
        <v>405</v>
      </c>
      <c r="I458" t="s">
        <v>409</v>
      </c>
      <c r="J458" t="s">
        <v>429</v>
      </c>
      <c r="K458" t="s">
        <v>583</v>
      </c>
    </row>
    <row r="459" spans="1:11" x14ac:dyDescent="0.35">
      <c r="A459" t="s">
        <v>179</v>
      </c>
      <c r="B459" t="s">
        <v>293</v>
      </c>
      <c r="C459">
        <v>2503.2199999999998</v>
      </c>
      <c r="D459" t="s">
        <v>393</v>
      </c>
      <c r="E459">
        <v>3</v>
      </c>
      <c r="F459" t="s">
        <v>398</v>
      </c>
      <c r="G459" t="s">
        <v>403</v>
      </c>
      <c r="H459" t="s">
        <v>406</v>
      </c>
      <c r="I459" t="s">
        <v>410</v>
      </c>
      <c r="J459" t="s">
        <v>429</v>
      </c>
      <c r="K459" t="s">
        <v>583</v>
      </c>
    </row>
    <row r="460" spans="1:11" x14ac:dyDescent="0.35">
      <c r="A460" t="s">
        <v>79</v>
      </c>
      <c r="B460" t="s">
        <v>341</v>
      </c>
      <c r="C460">
        <v>1240</v>
      </c>
      <c r="D460" t="s">
        <v>395</v>
      </c>
      <c r="E460">
        <v>3</v>
      </c>
      <c r="F460" t="s">
        <v>398</v>
      </c>
      <c r="G460" t="s">
        <v>402</v>
      </c>
      <c r="H460" t="s">
        <v>406</v>
      </c>
      <c r="I460" t="s">
        <v>409</v>
      </c>
      <c r="J460" t="s">
        <v>429</v>
      </c>
      <c r="K460" t="s">
        <v>583</v>
      </c>
    </row>
    <row r="461" spans="1:11" x14ac:dyDescent="0.35">
      <c r="A461" t="s">
        <v>158</v>
      </c>
      <c r="B461" t="s">
        <v>384</v>
      </c>
      <c r="C461">
        <v>2173.9499999999998</v>
      </c>
      <c r="D461" t="s">
        <v>394</v>
      </c>
      <c r="E461">
        <v>2</v>
      </c>
      <c r="F461" t="s">
        <v>401</v>
      </c>
      <c r="G461" t="s">
        <v>402</v>
      </c>
      <c r="H461" t="s">
        <v>406</v>
      </c>
      <c r="I461" t="s">
        <v>409</v>
      </c>
      <c r="J461" t="s">
        <v>429</v>
      </c>
      <c r="K461" t="s">
        <v>583</v>
      </c>
    </row>
    <row r="462" spans="1:11" x14ac:dyDescent="0.35">
      <c r="A462" t="s">
        <v>67</v>
      </c>
      <c r="B462" t="s">
        <v>385</v>
      </c>
      <c r="C462">
        <v>4896.6499999999996</v>
      </c>
      <c r="D462" t="s">
        <v>395</v>
      </c>
      <c r="E462">
        <v>1</v>
      </c>
      <c r="F462" t="s">
        <v>400</v>
      </c>
      <c r="G462" t="s">
        <v>402</v>
      </c>
      <c r="H462" t="s">
        <v>408</v>
      </c>
      <c r="I462" t="s">
        <v>410</v>
      </c>
      <c r="J462" t="s">
        <v>429</v>
      </c>
      <c r="K462" t="s">
        <v>583</v>
      </c>
    </row>
    <row r="463" spans="1:11" x14ac:dyDescent="0.35">
      <c r="A463" t="s">
        <v>36</v>
      </c>
      <c r="B463" t="s">
        <v>345</v>
      </c>
      <c r="C463">
        <v>2991.38</v>
      </c>
      <c r="D463" t="s">
        <v>395</v>
      </c>
      <c r="E463">
        <v>2</v>
      </c>
      <c r="F463" t="s">
        <v>398</v>
      </c>
      <c r="G463" t="s">
        <v>402</v>
      </c>
      <c r="H463" t="s">
        <v>408</v>
      </c>
      <c r="I463" t="s">
        <v>410</v>
      </c>
      <c r="J463" t="s">
        <v>429</v>
      </c>
      <c r="K463" t="s">
        <v>583</v>
      </c>
    </row>
    <row r="464" spans="1:11" x14ac:dyDescent="0.35">
      <c r="A464" t="s">
        <v>20</v>
      </c>
      <c r="B464" t="s">
        <v>261</v>
      </c>
      <c r="C464">
        <v>1342.74</v>
      </c>
      <c r="D464" t="s">
        <v>395</v>
      </c>
      <c r="E464">
        <v>2</v>
      </c>
      <c r="F464" t="s">
        <v>397</v>
      </c>
      <c r="G464" t="s">
        <v>402</v>
      </c>
      <c r="H464" t="s">
        <v>404</v>
      </c>
      <c r="I464" t="s">
        <v>410</v>
      </c>
      <c r="J464" t="s">
        <v>507</v>
      </c>
      <c r="K464" t="s">
        <v>582</v>
      </c>
    </row>
    <row r="465" spans="1:11" x14ac:dyDescent="0.35">
      <c r="A465" t="s">
        <v>137</v>
      </c>
      <c r="B465" t="s">
        <v>263</v>
      </c>
      <c r="C465">
        <v>1394.15</v>
      </c>
      <c r="D465" t="s">
        <v>395</v>
      </c>
      <c r="E465">
        <v>4</v>
      </c>
      <c r="F465" t="s">
        <v>398</v>
      </c>
      <c r="G465" t="s">
        <v>403</v>
      </c>
      <c r="H465" t="s">
        <v>407</v>
      </c>
      <c r="I465" t="s">
        <v>409</v>
      </c>
      <c r="J465" t="s">
        <v>507</v>
      </c>
      <c r="K465" t="s">
        <v>582</v>
      </c>
    </row>
    <row r="466" spans="1:11" x14ac:dyDescent="0.35">
      <c r="A466" t="s">
        <v>133</v>
      </c>
      <c r="B466" t="s">
        <v>365</v>
      </c>
      <c r="C466">
        <v>3398.93</v>
      </c>
      <c r="D466" t="s">
        <v>392</v>
      </c>
      <c r="E466">
        <v>2</v>
      </c>
      <c r="F466" t="s">
        <v>400</v>
      </c>
      <c r="G466" t="s">
        <v>402</v>
      </c>
      <c r="H466" t="s">
        <v>407</v>
      </c>
      <c r="I466" t="s">
        <v>410</v>
      </c>
      <c r="J466" t="s">
        <v>507</v>
      </c>
      <c r="K466" t="s">
        <v>583</v>
      </c>
    </row>
    <row r="467" spans="1:11" x14ac:dyDescent="0.35">
      <c r="A467" t="s">
        <v>15</v>
      </c>
      <c r="B467" t="s">
        <v>293</v>
      </c>
      <c r="C467">
        <v>3346.65</v>
      </c>
      <c r="D467" t="s">
        <v>395</v>
      </c>
      <c r="E467">
        <v>4</v>
      </c>
      <c r="F467" t="s">
        <v>399</v>
      </c>
      <c r="G467" t="s">
        <v>403</v>
      </c>
      <c r="H467" t="s">
        <v>406</v>
      </c>
      <c r="I467" t="s">
        <v>410</v>
      </c>
      <c r="J467" t="s">
        <v>507</v>
      </c>
      <c r="K467" t="s">
        <v>582</v>
      </c>
    </row>
    <row r="468" spans="1:11" x14ac:dyDescent="0.35">
      <c r="A468" t="s">
        <v>79</v>
      </c>
      <c r="B468" t="s">
        <v>225</v>
      </c>
      <c r="C468">
        <v>1352.14</v>
      </c>
      <c r="D468" t="s">
        <v>392</v>
      </c>
      <c r="E468">
        <v>1</v>
      </c>
      <c r="F468" t="s">
        <v>400</v>
      </c>
      <c r="G468" t="s">
        <v>402</v>
      </c>
      <c r="H468" t="s">
        <v>406</v>
      </c>
      <c r="I468" t="s">
        <v>410</v>
      </c>
      <c r="J468" t="s">
        <v>507</v>
      </c>
      <c r="K468" t="s">
        <v>583</v>
      </c>
    </row>
    <row r="469" spans="1:11" x14ac:dyDescent="0.35">
      <c r="A469" t="s">
        <v>116</v>
      </c>
      <c r="B469" t="s">
        <v>368</v>
      </c>
      <c r="C469">
        <v>2592.64</v>
      </c>
      <c r="D469" t="s">
        <v>392</v>
      </c>
      <c r="E469">
        <v>1</v>
      </c>
      <c r="F469" t="s">
        <v>398</v>
      </c>
      <c r="G469" t="s">
        <v>403</v>
      </c>
      <c r="H469" t="s">
        <v>406</v>
      </c>
      <c r="I469" t="s">
        <v>410</v>
      </c>
      <c r="J469" t="s">
        <v>507</v>
      </c>
      <c r="K469" t="s">
        <v>583</v>
      </c>
    </row>
    <row r="470" spans="1:11" x14ac:dyDescent="0.35">
      <c r="A470" t="s">
        <v>110</v>
      </c>
      <c r="B470" t="s">
        <v>249</v>
      </c>
      <c r="C470">
        <v>4735.8599999999997</v>
      </c>
      <c r="D470" t="s">
        <v>392</v>
      </c>
      <c r="E470">
        <v>4</v>
      </c>
      <c r="F470" t="s">
        <v>401</v>
      </c>
      <c r="G470" t="s">
        <v>403</v>
      </c>
      <c r="H470" t="s">
        <v>405</v>
      </c>
      <c r="I470" t="s">
        <v>410</v>
      </c>
      <c r="J470" t="s">
        <v>465</v>
      </c>
      <c r="K470" t="s">
        <v>583</v>
      </c>
    </row>
    <row r="471" spans="1:11" x14ac:dyDescent="0.35">
      <c r="A471" t="s">
        <v>16</v>
      </c>
      <c r="B471" t="s">
        <v>290</v>
      </c>
      <c r="C471">
        <v>3611.52</v>
      </c>
      <c r="D471" t="s">
        <v>396</v>
      </c>
      <c r="E471">
        <v>2</v>
      </c>
      <c r="F471" t="s">
        <v>400</v>
      </c>
      <c r="G471" t="s">
        <v>402</v>
      </c>
      <c r="H471" t="s">
        <v>406</v>
      </c>
      <c r="I471" t="s">
        <v>410</v>
      </c>
      <c r="J471" t="s">
        <v>465</v>
      </c>
      <c r="K471" t="s">
        <v>583</v>
      </c>
    </row>
    <row r="472" spans="1:11" x14ac:dyDescent="0.35">
      <c r="A472" t="s">
        <v>72</v>
      </c>
      <c r="B472" t="s">
        <v>349</v>
      </c>
      <c r="C472">
        <v>4835.63</v>
      </c>
      <c r="D472" t="s">
        <v>392</v>
      </c>
      <c r="E472">
        <v>5</v>
      </c>
      <c r="F472" t="s">
        <v>397</v>
      </c>
      <c r="G472" t="s">
        <v>402</v>
      </c>
      <c r="H472" t="s">
        <v>406</v>
      </c>
      <c r="I472" t="s">
        <v>409</v>
      </c>
      <c r="J472" t="s">
        <v>465</v>
      </c>
      <c r="K472" t="s">
        <v>583</v>
      </c>
    </row>
    <row r="473" spans="1:11" x14ac:dyDescent="0.35">
      <c r="A473" t="s">
        <v>95</v>
      </c>
      <c r="B473" t="s">
        <v>332</v>
      </c>
      <c r="C473">
        <v>497.19</v>
      </c>
      <c r="D473" t="s">
        <v>394</v>
      </c>
      <c r="E473">
        <v>5</v>
      </c>
      <c r="F473" t="s">
        <v>400</v>
      </c>
      <c r="G473" t="s">
        <v>402</v>
      </c>
      <c r="H473" t="s">
        <v>405</v>
      </c>
      <c r="I473" t="s">
        <v>410</v>
      </c>
      <c r="J473" t="s">
        <v>465</v>
      </c>
      <c r="K473" t="s">
        <v>583</v>
      </c>
    </row>
    <row r="474" spans="1:11" x14ac:dyDescent="0.35">
      <c r="A474" t="s">
        <v>155</v>
      </c>
      <c r="B474" t="s">
        <v>317</v>
      </c>
      <c r="C474">
        <v>1923.45</v>
      </c>
      <c r="D474" t="s">
        <v>392</v>
      </c>
      <c r="E474">
        <v>3</v>
      </c>
      <c r="F474" t="s">
        <v>401</v>
      </c>
      <c r="G474" t="s">
        <v>402</v>
      </c>
      <c r="H474" t="s">
        <v>408</v>
      </c>
      <c r="I474" t="s">
        <v>410</v>
      </c>
      <c r="J474" t="s">
        <v>465</v>
      </c>
      <c r="K474" t="s">
        <v>582</v>
      </c>
    </row>
    <row r="475" spans="1:11" x14ac:dyDescent="0.35">
      <c r="A475" t="s">
        <v>164</v>
      </c>
      <c r="B475" t="s">
        <v>331</v>
      </c>
      <c r="C475">
        <v>4202.24</v>
      </c>
      <c r="D475" t="s">
        <v>395</v>
      </c>
      <c r="E475">
        <v>5</v>
      </c>
      <c r="F475" t="s">
        <v>400</v>
      </c>
      <c r="G475" t="s">
        <v>403</v>
      </c>
      <c r="H475" t="s">
        <v>406</v>
      </c>
      <c r="I475" t="s">
        <v>409</v>
      </c>
      <c r="J475" t="s">
        <v>514</v>
      </c>
      <c r="K475" t="s">
        <v>583</v>
      </c>
    </row>
    <row r="476" spans="1:11" x14ac:dyDescent="0.35">
      <c r="A476" t="s">
        <v>82</v>
      </c>
      <c r="B476" t="s">
        <v>278</v>
      </c>
      <c r="C476">
        <v>2257.9299999999998</v>
      </c>
      <c r="D476" t="s">
        <v>392</v>
      </c>
      <c r="E476">
        <v>4</v>
      </c>
      <c r="F476" t="s">
        <v>401</v>
      </c>
      <c r="G476" t="s">
        <v>402</v>
      </c>
      <c r="H476" t="s">
        <v>404</v>
      </c>
      <c r="I476" t="s">
        <v>410</v>
      </c>
      <c r="J476" t="s">
        <v>445</v>
      </c>
      <c r="K476" t="s">
        <v>582</v>
      </c>
    </row>
    <row r="477" spans="1:11" x14ac:dyDescent="0.35">
      <c r="A477" t="s">
        <v>162</v>
      </c>
      <c r="B477" t="s">
        <v>348</v>
      </c>
      <c r="C477">
        <v>3094.89</v>
      </c>
      <c r="D477" t="s">
        <v>391</v>
      </c>
      <c r="E477">
        <v>4</v>
      </c>
      <c r="F477" t="s">
        <v>398</v>
      </c>
      <c r="G477" t="s">
        <v>403</v>
      </c>
      <c r="H477" t="s">
        <v>407</v>
      </c>
      <c r="I477" t="s">
        <v>410</v>
      </c>
      <c r="J477" t="s">
        <v>445</v>
      </c>
      <c r="K477" t="s">
        <v>582</v>
      </c>
    </row>
    <row r="478" spans="1:11" x14ac:dyDescent="0.35">
      <c r="A478" t="s">
        <v>147</v>
      </c>
      <c r="B478" t="s">
        <v>322</v>
      </c>
      <c r="C478">
        <v>1139.23</v>
      </c>
      <c r="D478" t="s">
        <v>394</v>
      </c>
      <c r="E478">
        <v>4</v>
      </c>
      <c r="F478" t="s">
        <v>399</v>
      </c>
      <c r="G478" t="s">
        <v>403</v>
      </c>
      <c r="H478" t="s">
        <v>405</v>
      </c>
      <c r="I478" t="s">
        <v>410</v>
      </c>
      <c r="J478" t="s">
        <v>445</v>
      </c>
      <c r="K478" t="s">
        <v>582</v>
      </c>
    </row>
    <row r="479" spans="1:11" x14ac:dyDescent="0.35">
      <c r="A479" t="s">
        <v>193</v>
      </c>
      <c r="B479" t="s">
        <v>294</v>
      </c>
      <c r="C479">
        <v>2707.27</v>
      </c>
      <c r="D479" t="s">
        <v>393</v>
      </c>
      <c r="E479">
        <v>5</v>
      </c>
      <c r="F479" t="s">
        <v>397</v>
      </c>
      <c r="G479" t="s">
        <v>402</v>
      </c>
      <c r="H479" t="s">
        <v>405</v>
      </c>
      <c r="I479" t="s">
        <v>409</v>
      </c>
      <c r="J479" t="s">
        <v>445</v>
      </c>
      <c r="K479" t="s">
        <v>582</v>
      </c>
    </row>
    <row r="480" spans="1:11" x14ac:dyDescent="0.35">
      <c r="A480" t="s">
        <v>17</v>
      </c>
      <c r="B480" t="s">
        <v>244</v>
      </c>
      <c r="C480">
        <v>905.38</v>
      </c>
      <c r="D480" t="s">
        <v>396</v>
      </c>
      <c r="E480">
        <v>2</v>
      </c>
      <c r="F480" t="s">
        <v>400</v>
      </c>
      <c r="G480" t="s">
        <v>403</v>
      </c>
      <c r="H480" t="s">
        <v>405</v>
      </c>
      <c r="I480" t="s">
        <v>409</v>
      </c>
      <c r="J480" t="s">
        <v>445</v>
      </c>
      <c r="K480" t="s">
        <v>583</v>
      </c>
    </row>
    <row r="481" spans="1:11" x14ac:dyDescent="0.35">
      <c r="A481" t="s">
        <v>95</v>
      </c>
      <c r="B481" t="s">
        <v>354</v>
      </c>
      <c r="C481">
        <v>1031.79</v>
      </c>
      <c r="D481" t="s">
        <v>391</v>
      </c>
      <c r="E481">
        <v>4</v>
      </c>
      <c r="F481" t="s">
        <v>401</v>
      </c>
      <c r="G481" t="s">
        <v>403</v>
      </c>
      <c r="H481" t="s">
        <v>405</v>
      </c>
      <c r="I481" t="s">
        <v>409</v>
      </c>
      <c r="J481" t="s">
        <v>445</v>
      </c>
      <c r="K481" t="s">
        <v>583</v>
      </c>
    </row>
    <row r="482" spans="1:11" x14ac:dyDescent="0.35">
      <c r="A482" t="s">
        <v>122</v>
      </c>
      <c r="B482" t="s">
        <v>239</v>
      </c>
      <c r="C482">
        <v>2489.42</v>
      </c>
      <c r="D482" t="s">
        <v>392</v>
      </c>
      <c r="E482">
        <v>4</v>
      </c>
      <c r="F482" t="s">
        <v>401</v>
      </c>
      <c r="G482" t="s">
        <v>402</v>
      </c>
      <c r="H482" t="s">
        <v>408</v>
      </c>
      <c r="I482" t="s">
        <v>410</v>
      </c>
      <c r="J482" t="s">
        <v>445</v>
      </c>
      <c r="K482" t="s">
        <v>582</v>
      </c>
    </row>
    <row r="483" spans="1:11" x14ac:dyDescent="0.35">
      <c r="A483" t="s">
        <v>93</v>
      </c>
      <c r="B483" t="s">
        <v>289</v>
      </c>
      <c r="C483">
        <v>1904.78</v>
      </c>
      <c r="D483" t="s">
        <v>394</v>
      </c>
      <c r="E483">
        <v>1</v>
      </c>
      <c r="F483" t="s">
        <v>398</v>
      </c>
      <c r="G483" t="s">
        <v>402</v>
      </c>
      <c r="H483" t="s">
        <v>405</v>
      </c>
      <c r="I483" t="s">
        <v>410</v>
      </c>
      <c r="J483" t="s">
        <v>455</v>
      </c>
      <c r="K483" t="s">
        <v>583</v>
      </c>
    </row>
    <row r="484" spans="1:11" x14ac:dyDescent="0.35">
      <c r="A484" t="s">
        <v>57</v>
      </c>
      <c r="B484" t="s">
        <v>226</v>
      </c>
      <c r="C484">
        <v>1201.69</v>
      </c>
      <c r="D484" t="s">
        <v>391</v>
      </c>
      <c r="E484">
        <v>3</v>
      </c>
      <c r="F484" t="s">
        <v>397</v>
      </c>
      <c r="G484" t="s">
        <v>403</v>
      </c>
      <c r="H484" t="s">
        <v>407</v>
      </c>
      <c r="I484" t="s">
        <v>410</v>
      </c>
      <c r="J484" t="s">
        <v>455</v>
      </c>
      <c r="K484" t="s">
        <v>583</v>
      </c>
    </row>
    <row r="485" spans="1:11" x14ac:dyDescent="0.35">
      <c r="A485" t="s">
        <v>41</v>
      </c>
      <c r="B485" t="s">
        <v>263</v>
      </c>
      <c r="C485">
        <v>101.41</v>
      </c>
      <c r="D485" t="s">
        <v>396</v>
      </c>
      <c r="E485">
        <v>1</v>
      </c>
      <c r="F485" t="s">
        <v>398</v>
      </c>
      <c r="G485" t="s">
        <v>403</v>
      </c>
      <c r="H485" t="s">
        <v>407</v>
      </c>
      <c r="I485" t="s">
        <v>410</v>
      </c>
      <c r="J485" t="s">
        <v>455</v>
      </c>
      <c r="K485" t="s">
        <v>582</v>
      </c>
    </row>
    <row r="486" spans="1:11" x14ac:dyDescent="0.35">
      <c r="A486" t="s">
        <v>60</v>
      </c>
      <c r="B486" t="s">
        <v>307</v>
      </c>
      <c r="C486">
        <v>2238.87</v>
      </c>
      <c r="D486" t="s">
        <v>391</v>
      </c>
      <c r="E486">
        <v>3</v>
      </c>
      <c r="F486" t="s">
        <v>399</v>
      </c>
      <c r="G486" t="s">
        <v>403</v>
      </c>
      <c r="H486" t="s">
        <v>405</v>
      </c>
      <c r="I486" t="s">
        <v>409</v>
      </c>
      <c r="J486" t="s">
        <v>455</v>
      </c>
      <c r="K486" t="s">
        <v>583</v>
      </c>
    </row>
    <row r="487" spans="1:11" x14ac:dyDescent="0.35">
      <c r="A487" t="s">
        <v>176</v>
      </c>
      <c r="B487" t="s">
        <v>210</v>
      </c>
      <c r="C487">
        <v>4171.46</v>
      </c>
      <c r="D487" t="s">
        <v>396</v>
      </c>
      <c r="E487">
        <v>3</v>
      </c>
      <c r="F487" t="s">
        <v>400</v>
      </c>
      <c r="G487" t="s">
        <v>402</v>
      </c>
      <c r="H487" t="s">
        <v>406</v>
      </c>
      <c r="I487" t="s">
        <v>410</v>
      </c>
      <c r="J487" t="s">
        <v>455</v>
      </c>
      <c r="K487" t="s">
        <v>583</v>
      </c>
    </row>
    <row r="488" spans="1:11" x14ac:dyDescent="0.35">
      <c r="A488" t="s">
        <v>113</v>
      </c>
      <c r="B488" t="s">
        <v>289</v>
      </c>
      <c r="C488">
        <v>1475.2</v>
      </c>
      <c r="D488" t="s">
        <v>391</v>
      </c>
      <c r="E488">
        <v>4</v>
      </c>
      <c r="F488" t="s">
        <v>401</v>
      </c>
      <c r="G488" t="s">
        <v>403</v>
      </c>
      <c r="H488" t="s">
        <v>407</v>
      </c>
      <c r="I488" t="s">
        <v>410</v>
      </c>
      <c r="J488" t="s">
        <v>455</v>
      </c>
      <c r="K488" t="s">
        <v>582</v>
      </c>
    </row>
    <row r="489" spans="1:11" x14ac:dyDescent="0.35">
      <c r="A489" t="s">
        <v>174</v>
      </c>
      <c r="B489" t="s">
        <v>225</v>
      </c>
      <c r="C489">
        <v>4730.18</v>
      </c>
      <c r="D489" t="s">
        <v>396</v>
      </c>
      <c r="E489">
        <v>3</v>
      </c>
      <c r="F489" t="s">
        <v>400</v>
      </c>
      <c r="G489" t="s">
        <v>402</v>
      </c>
      <c r="H489" t="s">
        <v>407</v>
      </c>
      <c r="I489" t="s">
        <v>409</v>
      </c>
      <c r="J489" t="s">
        <v>526</v>
      </c>
      <c r="K489" t="s">
        <v>582</v>
      </c>
    </row>
    <row r="490" spans="1:11" x14ac:dyDescent="0.35">
      <c r="A490" t="s">
        <v>104</v>
      </c>
      <c r="B490" t="s">
        <v>313</v>
      </c>
      <c r="C490">
        <v>382.26</v>
      </c>
      <c r="D490" t="s">
        <v>393</v>
      </c>
      <c r="E490">
        <v>1</v>
      </c>
      <c r="F490" t="s">
        <v>398</v>
      </c>
      <c r="G490" t="s">
        <v>402</v>
      </c>
      <c r="H490" t="s">
        <v>408</v>
      </c>
      <c r="I490" t="s">
        <v>410</v>
      </c>
      <c r="J490" t="s">
        <v>526</v>
      </c>
      <c r="K490" t="s">
        <v>583</v>
      </c>
    </row>
    <row r="491" spans="1:11" x14ac:dyDescent="0.35">
      <c r="A491" t="s">
        <v>57</v>
      </c>
      <c r="B491" t="s">
        <v>337</v>
      </c>
      <c r="C491">
        <v>4079.95</v>
      </c>
      <c r="D491" t="s">
        <v>396</v>
      </c>
      <c r="E491">
        <v>2</v>
      </c>
      <c r="F491" t="s">
        <v>397</v>
      </c>
      <c r="G491" t="s">
        <v>402</v>
      </c>
      <c r="H491" t="s">
        <v>408</v>
      </c>
      <c r="I491" t="s">
        <v>409</v>
      </c>
      <c r="J491" t="s">
        <v>486</v>
      </c>
      <c r="K491" t="s">
        <v>583</v>
      </c>
    </row>
    <row r="492" spans="1:11" x14ac:dyDescent="0.35">
      <c r="A492" t="s">
        <v>141</v>
      </c>
      <c r="B492" t="s">
        <v>243</v>
      </c>
      <c r="C492">
        <v>2801.47</v>
      </c>
      <c r="D492" t="s">
        <v>394</v>
      </c>
      <c r="E492">
        <v>2</v>
      </c>
      <c r="F492" t="s">
        <v>398</v>
      </c>
      <c r="G492" t="s">
        <v>402</v>
      </c>
      <c r="H492" t="s">
        <v>406</v>
      </c>
      <c r="I492" t="s">
        <v>410</v>
      </c>
      <c r="J492" t="s">
        <v>486</v>
      </c>
      <c r="K492" t="s">
        <v>583</v>
      </c>
    </row>
    <row r="493" spans="1:11" x14ac:dyDescent="0.35">
      <c r="A493" t="s">
        <v>39</v>
      </c>
      <c r="B493" t="s">
        <v>243</v>
      </c>
      <c r="C493">
        <v>4125.59</v>
      </c>
      <c r="D493" t="s">
        <v>395</v>
      </c>
      <c r="E493">
        <v>1</v>
      </c>
      <c r="F493" t="s">
        <v>397</v>
      </c>
      <c r="G493" t="s">
        <v>403</v>
      </c>
      <c r="H493" t="s">
        <v>406</v>
      </c>
      <c r="I493" t="s">
        <v>410</v>
      </c>
      <c r="J493" t="s">
        <v>486</v>
      </c>
      <c r="K493" t="s">
        <v>583</v>
      </c>
    </row>
    <row r="494" spans="1:11" x14ac:dyDescent="0.35">
      <c r="A494" t="s">
        <v>197</v>
      </c>
      <c r="B494" t="s">
        <v>307</v>
      </c>
      <c r="C494">
        <v>2624.55</v>
      </c>
      <c r="D494" t="s">
        <v>391</v>
      </c>
      <c r="E494">
        <v>4</v>
      </c>
      <c r="F494" t="s">
        <v>398</v>
      </c>
      <c r="G494" t="s">
        <v>403</v>
      </c>
      <c r="H494" t="s">
        <v>406</v>
      </c>
      <c r="I494" t="s">
        <v>409</v>
      </c>
      <c r="J494" t="s">
        <v>486</v>
      </c>
      <c r="K494" t="s">
        <v>582</v>
      </c>
    </row>
    <row r="495" spans="1:11" x14ac:dyDescent="0.35">
      <c r="A495" t="s">
        <v>194</v>
      </c>
      <c r="B495" t="s">
        <v>311</v>
      </c>
      <c r="C495">
        <v>3856.22</v>
      </c>
      <c r="D495" t="s">
        <v>393</v>
      </c>
      <c r="E495">
        <v>1</v>
      </c>
      <c r="F495" t="s">
        <v>399</v>
      </c>
      <c r="G495" t="s">
        <v>403</v>
      </c>
      <c r="H495" t="s">
        <v>408</v>
      </c>
      <c r="I495" t="s">
        <v>409</v>
      </c>
      <c r="J495" t="s">
        <v>486</v>
      </c>
      <c r="K495" t="s">
        <v>583</v>
      </c>
    </row>
    <row r="496" spans="1:11" x14ac:dyDescent="0.35">
      <c r="A496" t="s">
        <v>27</v>
      </c>
      <c r="B496" t="s">
        <v>363</v>
      </c>
      <c r="C496">
        <v>780.94</v>
      </c>
      <c r="D496" t="s">
        <v>393</v>
      </c>
      <c r="E496">
        <v>2</v>
      </c>
      <c r="F496" t="s">
        <v>397</v>
      </c>
      <c r="G496" t="s">
        <v>403</v>
      </c>
      <c r="H496" t="s">
        <v>408</v>
      </c>
      <c r="I496" t="s">
        <v>409</v>
      </c>
      <c r="J496" t="s">
        <v>486</v>
      </c>
      <c r="K496" t="s">
        <v>583</v>
      </c>
    </row>
    <row r="497" spans="1:11" x14ac:dyDescent="0.35">
      <c r="A497" t="s">
        <v>151</v>
      </c>
      <c r="B497" t="s">
        <v>355</v>
      </c>
      <c r="C497">
        <v>3086.95</v>
      </c>
      <c r="D497" t="s">
        <v>394</v>
      </c>
      <c r="E497">
        <v>4</v>
      </c>
      <c r="F497" t="s">
        <v>398</v>
      </c>
      <c r="G497" t="s">
        <v>403</v>
      </c>
      <c r="H497" t="s">
        <v>405</v>
      </c>
      <c r="I497" t="s">
        <v>409</v>
      </c>
      <c r="J497" t="s">
        <v>486</v>
      </c>
      <c r="K497" t="s">
        <v>582</v>
      </c>
    </row>
    <row r="498" spans="1:11" x14ac:dyDescent="0.35">
      <c r="A498" t="s">
        <v>161</v>
      </c>
      <c r="B498" t="s">
        <v>358</v>
      </c>
      <c r="C498">
        <v>4646.4399999999996</v>
      </c>
      <c r="D498" t="s">
        <v>394</v>
      </c>
      <c r="E498">
        <v>5</v>
      </c>
      <c r="F498" t="s">
        <v>399</v>
      </c>
      <c r="G498" t="s">
        <v>402</v>
      </c>
      <c r="H498" t="s">
        <v>406</v>
      </c>
      <c r="I498" t="s">
        <v>410</v>
      </c>
      <c r="J498" t="s">
        <v>558</v>
      </c>
      <c r="K498" t="s">
        <v>583</v>
      </c>
    </row>
    <row r="499" spans="1:11" x14ac:dyDescent="0.35">
      <c r="A499" t="s">
        <v>106</v>
      </c>
      <c r="B499" t="s">
        <v>340</v>
      </c>
      <c r="C499">
        <v>4998.17</v>
      </c>
      <c r="D499" t="s">
        <v>392</v>
      </c>
      <c r="E499">
        <v>5</v>
      </c>
      <c r="F499" t="s">
        <v>401</v>
      </c>
      <c r="G499" t="s">
        <v>402</v>
      </c>
      <c r="H499" t="s">
        <v>405</v>
      </c>
      <c r="I499" t="s">
        <v>410</v>
      </c>
      <c r="J499" t="s">
        <v>558</v>
      </c>
      <c r="K499" t="s">
        <v>582</v>
      </c>
    </row>
    <row r="500" spans="1:11" x14ac:dyDescent="0.35">
      <c r="A500" t="s">
        <v>83</v>
      </c>
      <c r="B500" t="s">
        <v>279</v>
      </c>
      <c r="C500">
        <v>3841.15</v>
      </c>
      <c r="D500" t="s">
        <v>396</v>
      </c>
      <c r="E500">
        <v>1</v>
      </c>
      <c r="F500" t="s">
        <v>398</v>
      </c>
      <c r="G500" t="s">
        <v>403</v>
      </c>
      <c r="H500" t="s">
        <v>408</v>
      </c>
      <c r="I500" t="s">
        <v>409</v>
      </c>
      <c r="J500" t="s">
        <v>446</v>
      </c>
      <c r="K500" t="s">
        <v>582</v>
      </c>
    </row>
    <row r="501" spans="1:11" x14ac:dyDescent="0.35">
      <c r="A501" t="s">
        <v>122</v>
      </c>
      <c r="B501" t="s">
        <v>312</v>
      </c>
      <c r="C501">
        <v>922.43</v>
      </c>
      <c r="D501" t="s">
        <v>391</v>
      </c>
      <c r="E501">
        <v>5</v>
      </c>
      <c r="F501" t="s">
        <v>400</v>
      </c>
      <c r="G501" t="s">
        <v>402</v>
      </c>
      <c r="H501" t="s">
        <v>404</v>
      </c>
      <c r="I501" t="s">
        <v>410</v>
      </c>
      <c r="J501" t="s">
        <v>446</v>
      </c>
      <c r="K501" t="s">
        <v>583</v>
      </c>
    </row>
    <row r="502" spans="1:11" x14ac:dyDescent="0.35">
      <c r="A502" t="s">
        <v>127</v>
      </c>
      <c r="B502" t="s">
        <v>320</v>
      </c>
      <c r="C502">
        <v>2052.65</v>
      </c>
      <c r="D502" t="s">
        <v>395</v>
      </c>
      <c r="E502">
        <v>1</v>
      </c>
      <c r="F502" t="s">
        <v>401</v>
      </c>
      <c r="G502" t="s">
        <v>402</v>
      </c>
      <c r="H502" t="s">
        <v>408</v>
      </c>
      <c r="I502" t="s">
        <v>410</v>
      </c>
      <c r="J502" t="s">
        <v>446</v>
      </c>
      <c r="K502" t="s">
        <v>582</v>
      </c>
    </row>
    <row r="503" spans="1:11" x14ac:dyDescent="0.35">
      <c r="A503" t="s">
        <v>157</v>
      </c>
      <c r="B503" t="s">
        <v>373</v>
      </c>
      <c r="C503">
        <v>3478.07</v>
      </c>
      <c r="D503" t="s">
        <v>392</v>
      </c>
      <c r="E503">
        <v>1</v>
      </c>
      <c r="F503" t="s">
        <v>400</v>
      </c>
      <c r="G503" t="s">
        <v>403</v>
      </c>
      <c r="H503" t="s">
        <v>404</v>
      </c>
      <c r="I503" t="s">
        <v>409</v>
      </c>
      <c r="J503" t="s">
        <v>446</v>
      </c>
      <c r="K503" t="s">
        <v>583</v>
      </c>
    </row>
    <row r="504" spans="1:11" x14ac:dyDescent="0.35">
      <c r="A504" t="s">
        <v>26</v>
      </c>
      <c r="B504" t="s">
        <v>221</v>
      </c>
      <c r="C504">
        <v>490.6</v>
      </c>
      <c r="D504" t="s">
        <v>392</v>
      </c>
      <c r="E504">
        <v>5</v>
      </c>
      <c r="F504" t="s">
        <v>397</v>
      </c>
      <c r="G504" t="s">
        <v>403</v>
      </c>
      <c r="H504" t="s">
        <v>407</v>
      </c>
      <c r="I504" t="s">
        <v>409</v>
      </c>
      <c r="J504" t="s">
        <v>446</v>
      </c>
      <c r="K504" t="s">
        <v>583</v>
      </c>
    </row>
    <row r="505" spans="1:11" x14ac:dyDescent="0.35">
      <c r="A505" t="s">
        <v>82</v>
      </c>
      <c r="B505" t="s">
        <v>222</v>
      </c>
      <c r="C505">
        <v>2555.71</v>
      </c>
      <c r="D505" t="s">
        <v>393</v>
      </c>
      <c r="E505">
        <v>5</v>
      </c>
      <c r="F505" t="s">
        <v>398</v>
      </c>
      <c r="G505" t="s">
        <v>402</v>
      </c>
      <c r="H505" t="s">
        <v>405</v>
      </c>
      <c r="I505" t="s">
        <v>410</v>
      </c>
      <c r="J505" t="s">
        <v>446</v>
      </c>
      <c r="K505" t="s">
        <v>582</v>
      </c>
    </row>
    <row r="506" spans="1:11" x14ac:dyDescent="0.35">
      <c r="A506" t="s">
        <v>126</v>
      </c>
      <c r="B506" t="s">
        <v>288</v>
      </c>
      <c r="C506">
        <v>3457.03</v>
      </c>
      <c r="D506" t="s">
        <v>394</v>
      </c>
      <c r="E506">
        <v>2</v>
      </c>
      <c r="F506" t="s">
        <v>398</v>
      </c>
      <c r="G506" t="s">
        <v>402</v>
      </c>
      <c r="H506" t="s">
        <v>407</v>
      </c>
      <c r="I506" t="s">
        <v>409</v>
      </c>
      <c r="J506" t="s">
        <v>490</v>
      </c>
      <c r="K506" t="s">
        <v>582</v>
      </c>
    </row>
    <row r="507" spans="1:11" x14ac:dyDescent="0.35">
      <c r="A507" t="s">
        <v>126</v>
      </c>
      <c r="B507" t="s">
        <v>269</v>
      </c>
      <c r="C507">
        <v>908.56</v>
      </c>
      <c r="D507" t="s">
        <v>394</v>
      </c>
      <c r="E507">
        <v>2</v>
      </c>
      <c r="F507" t="s">
        <v>400</v>
      </c>
      <c r="G507" t="s">
        <v>403</v>
      </c>
      <c r="H507" t="s">
        <v>405</v>
      </c>
      <c r="I507" t="s">
        <v>410</v>
      </c>
      <c r="J507" t="s">
        <v>490</v>
      </c>
      <c r="K507" t="s">
        <v>582</v>
      </c>
    </row>
    <row r="508" spans="1:11" x14ac:dyDescent="0.35">
      <c r="A508" t="s">
        <v>37</v>
      </c>
      <c r="B508" t="s">
        <v>355</v>
      </c>
      <c r="C508">
        <v>1531.3</v>
      </c>
      <c r="D508" t="s">
        <v>391</v>
      </c>
      <c r="E508">
        <v>2</v>
      </c>
      <c r="F508" t="s">
        <v>401</v>
      </c>
      <c r="G508" t="s">
        <v>402</v>
      </c>
      <c r="H508" t="s">
        <v>407</v>
      </c>
      <c r="I508" t="s">
        <v>410</v>
      </c>
      <c r="J508" t="s">
        <v>490</v>
      </c>
      <c r="K508" t="s">
        <v>582</v>
      </c>
    </row>
    <row r="509" spans="1:11" x14ac:dyDescent="0.35">
      <c r="A509" t="s">
        <v>117</v>
      </c>
      <c r="B509" t="s">
        <v>248</v>
      </c>
      <c r="C509">
        <v>2010.78</v>
      </c>
      <c r="D509" t="s">
        <v>395</v>
      </c>
      <c r="E509">
        <v>1</v>
      </c>
      <c r="F509" t="s">
        <v>399</v>
      </c>
      <c r="G509" t="s">
        <v>402</v>
      </c>
      <c r="H509" t="s">
        <v>406</v>
      </c>
      <c r="I509" t="s">
        <v>410</v>
      </c>
      <c r="J509" t="s">
        <v>490</v>
      </c>
      <c r="K509" t="s">
        <v>582</v>
      </c>
    </row>
    <row r="510" spans="1:11" x14ac:dyDescent="0.35">
      <c r="A510" t="s">
        <v>122</v>
      </c>
      <c r="B510" t="s">
        <v>273</v>
      </c>
      <c r="C510">
        <v>239.44</v>
      </c>
      <c r="D510" t="s">
        <v>395</v>
      </c>
      <c r="E510">
        <v>2</v>
      </c>
      <c r="F510" t="s">
        <v>397</v>
      </c>
      <c r="G510" t="s">
        <v>403</v>
      </c>
      <c r="H510" t="s">
        <v>406</v>
      </c>
      <c r="I510" t="s">
        <v>410</v>
      </c>
      <c r="J510" t="s">
        <v>477</v>
      </c>
      <c r="K510" t="s">
        <v>582</v>
      </c>
    </row>
    <row r="511" spans="1:11" x14ac:dyDescent="0.35">
      <c r="A511" t="s">
        <v>132</v>
      </c>
      <c r="B511" t="s">
        <v>327</v>
      </c>
      <c r="C511">
        <v>3675.4</v>
      </c>
      <c r="D511" t="s">
        <v>395</v>
      </c>
      <c r="E511">
        <v>3</v>
      </c>
      <c r="F511" t="s">
        <v>398</v>
      </c>
      <c r="G511" t="s">
        <v>403</v>
      </c>
      <c r="H511" t="s">
        <v>404</v>
      </c>
      <c r="I511" t="s">
        <v>410</v>
      </c>
      <c r="J511" t="s">
        <v>477</v>
      </c>
      <c r="K511" t="s">
        <v>582</v>
      </c>
    </row>
    <row r="512" spans="1:11" x14ac:dyDescent="0.35">
      <c r="A512" t="s">
        <v>59</v>
      </c>
      <c r="B512" t="s">
        <v>256</v>
      </c>
      <c r="C512">
        <v>1299.74</v>
      </c>
      <c r="D512" t="s">
        <v>394</v>
      </c>
      <c r="E512">
        <v>3</v>
      </c>
      <c r="F512" t="s">
        <v>400</v>
      </c>
      <c r="G512" t="s">
        <v>403</v>
      </c>
      <c r="H512" t="s">
        <v>404</v>
      </c>
      <c r="I512" t="s">
        <v>410</v>
      </c>
      <c r="J512" t="s">
        <v>477</v>
      </c>
      <c r="K512" t="s">
        <v>582</v>
      </c>
    </row>
    <row r="513" spans="1:11" x14ac:dyDescent="0.35">
      <c r="A513" t="s">
        <v>138</v>
      </c>
      <c r="B513" t="s">
        <v>227</v>
      </c>
      <c r="C513">
        <v>2724.69</v>
      </c>
      <c r="D513" t="s">
        <v>394</v>
      </c>
      <c r="E513">
        <v>5</v>
      </c>
      <c r="F513" t="s">
        <v>400</v>
      </c>
      <c r="G513" t="s">
        <v>402</v>
      </c>
      <c r="H513" t="s">
        <v>405</v>
      </c>
      <c r="I513" t="s">
        <v>410</v>
      </c>
      <c r="J513" t="s">
        <v>477</v>
      </c>
      <c r="K513" t="s">
        <v>582</v>
      </c>
    </row>
    <row r="514" spans="1:11" x14ac:dyDescent="0.35">
      <c r="A514" t="s">
        <v>34</v>
      </c>
      <c r="B514" t="s">
        <v>329</v>
      </c>
      <c r="C514">
        <v>4601.5200000000004</v>
      </c>
      <c r="D514" t="s">
        <v>396</v>
      </c>
      <c r="E514">
        <v>3</v>
      </c>
      <c r="F514" t="s">
        <v>401</v>
      </c>
      <c r="G514" t="s">
        <v>403</v>
      </c>
      <c r="H514" t="s">
        <v>407</v>
      </c>
      <c r="I514" t="s">
        <v>409</v>
      </c>
      <c r="J514" t="s">
        <v>477</v>
      </c>
      <c r="K514" t="s">
        <v>583</v>
      </c>
    </row>
    <row r="515" spans="1:11" x14ac:dyDescent="0.35">
      <c r="A515" t="s">
        <v>71</v>
      </c>
      <c r="B515" t="s">
        <v>219</v>
      </c>
      <c r="C515">
        <v>3840.22</v>
      </c>
      <c r="D515" t="s">
        <v>396</v>
      </c>
      <c r="E515">
        <v>3</v>
      </c>
      <c r="F515" t="s">
        <v>400</v>
      </c>
      <c r="G515" t="s">
        <v>403</v>
      </c>
      <c r="H515" t="s">
        <v>408</v>
      </c>
      <c r="I515" t="s">
        <v>409</v>
      </c>
      <c r="J515" t="s">
        <v>477</v>
      </c>
      <c r="K515" t="s">
        <v>583</v>
      </c>
    </row>
    <row r="516" spans="1:11" x14ac:dyDescent="0.35">
      <c r="A516" t="s">
        <v>107</v>
      </c>
      <c r="B516" t="s">
        <v>220</v>
      </c>
      <c r="C516">
        <v>435.71</v>
      </c>
      <c r="D516" t="s">
        <v>391</v>
      </c>
      <c r="E516">
        <v>1</v>
      </c>
      <c r="F516" t="s">
        <v>401</v>
      </c>
      <c r="G516" t="s">
        <v>403</v>
      </c>
      <c r="H516" t="s">
        <v>405</v>
      </c>
      <c r="I516" t="s">
        <v>410</v>
      </c>
      <c r="J516" t="s">
        <v>477</v>
      </c>
      <c r="K516" t="s">
        <v>582</v>
      </c>
    </row>
    <row r="517" spans="1:11" x14ac:dyDescent="0.35">
      <c r="A517" t="s">
        <v>141</v>
      </c>
      <c r="B517" t="s">
        <v>232</v>
      </c>
      <c r="C517">
        <v>674.76</v>
      </c>
      <c r="D517" t="s">
        <v>395</v>
      </c>
      <c r="E517">
        <v>3</v>
      </c>
      <c r="F517" t="s">
        <v>398</v>
      </c>
      <c r="G517" t="s">
        <v>402</v>
      </c>
      <c r="H517" t="s">
        <v>407</v>
      </c>
      <c r="I517" t="s">
        <v>409</v>
      </c>
      <c r="J517" t="s">
        <v>477</v>
      </c>
      <c r="K517" t="s">
        <v>583</v>
      </c>
    </row>
    <row r="518" spans="1:11" x14ac:dyDescent="0.35">
      <c r="A518" t="s">
        <v>28</v>
      </c>
      <c r="B518" t="s">
        <v>382</v>
      </c>
      <c r="C518">
        <v>2752.31</v>
      </c>
      <c r="D518" t="s">
        <v>395</v>
      </c>
      <c r="E518">
        <v>5</v>
      </c>
      <c r="F518" t="s">
        <v>398</v>
      </c>
      <c r="G518" t="s">
        <v>403</v>
      </c>
      <c r="H518" t="s">
        <v>407</v>
      </c>
      <c r="I518" t="s">
        <v>410</v>
      </c>
      <c r="J518" t="s">
        <v>477</v>
      </c>
      <c r="K518" t="s">
        <v>582</v>
      </c>
    </row>
    <row r="519" spans="1:11" x14ac:dyDescent="0.35">
      <c r="A519" t="s">
        <v>16</v>
      </c>
      <c r="B519" t="s">
        <v>291</v>
      </c>
      <c r="C519">
        <v>1414.01</v>
      </c>
      <c r="D519" t="s">
        <v>393</v>
      </c>
      <c r="E519">
        <v>4</v>
      </c>
      <c r="F519" t="s">
        <v>399</v>
      </c>
      <c r="G519" t="s">
        <v>402</v>
      </c>
      <c r="H519" t="s">
        <v>407</v>
      </c>
      <c r="I519" t="s">
        <v>409</v>
      </c>
      <c r="J519" t="s">
        <v>457</v>
      </c>
      <c r="K519" t="s">
        <v>582</v>
      </c>
    </row>
    <row r="520" spans="1:11" x14ac:dyDescent="0.35">
      <c r="A520" t="s">
        <v>105</v>
      </c>
      <c r="B520" t="s">
        <v>302</v>
      </c>
      <c r="C520">
        <v>1090.6400000000001</v>
      </c>
      <c r="D520" t="s">
        <v>396</v>
      </c>
      <c r="E520">
        <v>4</v>
      </c>
      <c r="F520" t="s">
        <v>401</v>
      </c>
      <c r="G520" t="s">
        <v>402</v>
      </c>
      <c r="H520" t="s">
        <v>406</v>
      </c>
      <c r="I520" t="s">
        <v>410</v>
      </c>
      <c r="J520" t="s">
        <v>457</v>
      </c>
      <c r="K520" t="s">
        <v>582</v>
      </c>
    </row>
    <row r="521" spans="1:11" x14ac:dyDescent="0.35">
      <c r="A521" t="s">
        <v>158</v>
      </c>
      <c r="B521" t="s">
        <v>356</v>
      </c>
      <c r="C521">
        <v>3783</v>
      </c>
      <c r="D521" t="s">
        <v>395</v>
      </c>
      <c r="E521">
        <v>2</v>
      </c>
      <c r="F521" t="s">
        <v>401</v>
      </c>
      <c r="G521" t="s">
        <v>402</v>
      </c>
      <c r="H521" t="s">
        <v>408</v>
      </c>
      <c r="I521" t="s">
        <v>410</v>
      </c>
      <c r="J521" t="s">
        <v>457</v>
      </c>
      <c r="K521" t="s">
        <v>582</v>
      </c>
    </row>
    <row r="522" spans="1:11" x14ac:dyDescent="0.35">
      <c r="A522" t="s">
        <v>13</v>
      </c>
      <c r="B522" t="s">
        <v>363</v>
      </c>
      <c r="C522">
        <v>1814.64</v>
      </c>
      <c r="D522" t="s">
        <v>394</v>
      </c>
      <c r="E522">
        <v>2</v>
      </c>
      <c r="F522" t="s">
        <v>399</v>
      </c>
      <c r="G522" t="s">
        <v>402</v>
      </c>
      <c r="H522" t="s">
        <v>406</v>
      </c>
      <c r="I522" t="s">
        <v>410</v>
      </c>
      <c r="J522" t="s">
        <v>457</v>
      </c>
      <c r="K522" t="s">
        <v>582</v>
      </c>
    </row>
    <row r="523" spans="1:11" x14ac:dyDescent="0.35">
      <c r="A523" t="s">
        <v>95</v>
      </c>
      <c r="B523" t="s">
        <v>309</v>
      </c>
      <c r="C523">
        <v>4054.3</v>
      </c>
      <c r="D523" t="s">
        <v>391</v>
      </c>
      <c r="E523">
        <v>3</v>
      </c>
      <c r="F523" t="s">
        <v>400</v>
      </c>
      <c r="G523" t="s">
        <v>403</v>
      </c>
      <c r="H523" t="s">
        <v>407</v>
      </c>
      <c r="I523" t="s">
        <v>410</v>
      </c>
      <c r="J523" t="s">
        <v>457</v>
      </c>
      <c r="K523" t="s">
        <v>583</v>
      </c>
    </row>
    <row r="524" spans="1:11" x14ac:dyDescent="0.35">
      <c r="A524" t="s">
        <v>12</v>
      </c>
      <c r="B524" t="s">
        <v>211</v>
      </c>
      <c r="C524">
        <v>4423.53</v>
      </c>
      <c r="D524" t="s">
        <v>392</v>
      </c>
      <c r="E524">
        <v>5</v>
      </c>
      <c r="F524" t="s">
        <v>398</v>
      </c>
      <c r="G524" t="s">
        <v>403</v>
      </c>
      <c r="H524" t="s">
        <v>405</v>
      </c>
      <c r="I524" t="s">
        <v>410</v>
      </c>
      <c r="J524" t="s">
        <v>412</v>
      </c>
      <c r="K524" t="s">
        <v>582</v>
      </c>
    </row>
    <row r="525" spans="1:11" x14ac:dyDescent="0.35">
      <c r="A525" t="s">
        <v>97</v>
      </c>
      <c r="B525" t="s">
        <v>292</v>
      </c>
      <c r="C525">
        <v>3594.57</v>
      </c>
      <c r="D525" t="s">
        <v>392</v>
      </c>
      <c r="E525">
        <v>5</v>
      </c>
      <c r="F525" t="s">
        <v>398</v>
      </c>
      <c r="G525" t="s">
        <v>402</v>
      </c>
      <c r="H525" t="s">
        <v>407</v>
      </c>
      <c r="I525" t="s">
        <v>410</v>
      </c>
      <c r="J525" t="s">
        <v>412</v>
      </c>
      <c r="K525" t="s">
        <v>582</v>
      </c>
    </row>
    <row r="526" spans="1:11" x14ac:dyDescent="0.35">
      <c r="A526" t="s">
        <v>53</v>
      </c>
      <c r="B526" t="s">
        <v>280</v>
      </c>
      <c r="C526">
        <v>1658.28</v>
      </c>
      <c r="D526" t="s">
        <v>391</v>
      </c>
      <c r="E526">
        <v>2</v>
      </c>
      <c r="F526" t="s">
        <v>401</v>
      </c>
      <c r="G526" t="s">
        <v>402</v>
      </c>
      <c r="H526" t="s">
        <v>408</v>
      </c>
      <c r="I526" t="s">
        <v>410</v>
      </c>
      <c r="J526" t="s">
        <v>412</v>
      </c>
      <c r="K526" t="s">
        <v>583</v>
      </c>
    </row>
    <row r="527" spans="1:11" x14ac:dyDescent="0.35">
      <c r="A527" t="s">
        <v>129</v>
      </c>
      <c r="B527" t="s">
        <v>274</v>
      </c>
      <c r="C527">
        <v>2168.2600000000002</v>
      </c>
      <c r="D527" t="s">
        <v>395</v>
      </c>
      <c r="E527">
        <v>4</v>
      </c>
      <c r="F527" t="s">
        <v>397</v>
      </c>
      <c r="G527" t="s">
        <v>402</v>
      </c>
      <c r="H527" t="s">
        <v>407</v>
      </c>
      <c r="I527" t="s">
        <v>409</v>
      </c>
      <c r="J527" t="s">
        <v>412</v>
      </c>
      <c r="K527" t="s">
        <v>582</v>
      </c>
    </row>
    <row r="528" spans="1:11" x14ac:dyDescent="0.35">
      <c r="A528" t="s">
        <v>161</v>
      </c>
      <c r="B528" t="s">
        <v>328</v>
      </c>
      <c r="C528">
        <v>3281.52</v>
      </c>
      <c r="D528" t="s">
        <v>392</v>
      </c>
      <c r="E528">
        <v>3</v>
      </c>
      <c r="F528" t="s">
        <v>397</v>
      </c>
      <c r="G528" t="s">
        <v>403</v>
      </c>
      <c r="H528" t="s">
        <v>405</v>
      </c>
      <c r="I528" t="s">
        <v>409</v>
      </c>
      <c r="J528" t="s">
        <v>412</v>
      </c>
      <c r="K528" t="s">
        <v>582</v>
      </c>
    </row>
    <row r="529" spans="1:11" x14ac:dyDescent="0.35">
      <c r="A529" t="s">
        <v>54</v>
      </c>
      <c r="B529" t="s">
        <v>242</v>
      </c>
      <c r="C529">
        <v>683.56</v>
      </c>
      <c r="D529" t="s">
        <v>394</v>
      </c>
      <c r="E529">
        <v>3</v>
      </c>
      <c r="F529" t="s">
        <v>399</v>
      </c>
      <c r="G529" t="s">
        <v>403</v>
      </c>
      <c r="H529" t="s">
        <v>405</v>
      </c>
      <c r="I529" t="s">
        <v>409</v>
      </c>
      <c r="J529" t="s">
        <v>412</v>
      </c>
      <c r="K529" t="s">
        <v>583</v>
      </c>
    </row>
    <row r="530" spans="1:11" x14ac:dyDescent="0.35">
      <c r="A530" t="s">
        <v>125</v>
      </c>
      <c r="B530" t="s">
        <v>316</v>
      </c>
      <c r="C530">
        <v>3540.63</v>
      </c>
      <c r="D530" t="s">
        <v>394</v>
      </c>
      <c r="E530">
        <v>5</v>
      </c>
      <c r="F530" t="s">
        <v>400</v>
      </c>
      <c r="G530" t="s">
        <v>402</v>
      </c>
      <c r="H530" t="s">
        <v>404</v>
      </c>
      <c r="I530" t="s">
        <v>409</v>
      </c>
      <c r="J530" t="s">
        <v>475</v>
      </c>
      <c r="K530" t="s">
        <v>582</v>
      </c>
    </row>
    <row r="531" spans="1:11" x14ac:dyDescent="0.35">
      <c r="A531" t="s">
        <v>142</v>
      </c>
      <c r="B531" t="s">
        <v>267</v>
      </c>
      <c r="C531">
        <v>907.37</v>
      </c>
      <c r="D531" t="s">
        <v>396</v>
      </c>
      <c r="E531">
        <v>5</v>
      </c>
      <c r="F531" t="s">
        <v>400</v>
      </c>
      <c r="G531" t="s">
        <v>402</v>
      </c>
      <c r="H531" t="s">
        <v>404</v>
      </c>
      <c r="I531" t="s">
        <v>410</v>
      </c>
      <c r="J531" t="s">
        <v>475</v>
      </c>
      <c r="K531" t="s">
        <v>583</v>
      </c>
    </row>
    <row r="532" spans="1:11" x14ac:dyDescent="0.35">
      <c r="A532" t="s">
        <v>75</v>
      </c>
      <c r="B532" t="s">
        <v>382</v>
      </c>
      <c r="C532">
        <v>4755.2700000000004</v>
      </c>
      <c r="D532" t="s">
        <v>394</v>
      </c>
      <c r="E532">
        <v>4</v>
      </c>
      <c r="F532" t="s">
        <v>400</v>
      </c>
      <c r="G532" t="s">
        <v>402</v>
      </c>
      <c r="H532" t="s">
        <v>407</v>
      </c>
      <c r="I532" t="s">
        <v>410</v>
      </c>
      <c r="J532" t="s">
        <v>475</v>
      </c>
      <c r="K532" t="s">
        <v>582</v>
      </c>
    </row>
    <row r="533" spans="1:11" x14ac:dyDescent="0.35">
      <c r="A533" t="s">
        <v>66</v>
      </c>
      <c r="B533" t="s">
        <v>262</v>
      </c>
      <c r="C533">
        <v>4340.71</v>
      </c>
      <c r="D533" t="s">
        <v>395</v>
      </c>
      <c r="E533">
        <v>3</v>
      </c>
      <c r="F533" t="s">
        <v>398</v>
      </c>
      <c r="G533" t="s">
        <v>403</v>
      </c>
      <c r="H533" t="s">
        <v>405</v>
      </c>
      <c r="I533" t="s">
        <v>410</v>
      </c>
      <c r="J533" t="s">
        <v>437</v>
      </c>
      <c r="K533" t="s">
        <v>582</v>
      </c>
    </row>
    <row r="534" spans="1:11" x14ac:dyDescent="0.35">
      <c r="A534" t="s">
        <v>42</v>
      </c>
      <c r="B534" t="s">
        <v>303</v>
      </c>
      <c r="C534">
        <v>4309.7700000000004</v>
      </c>
      <c r="D534" t="s">
        <v>395</v>
      </c>
      <c r="E534">
        <v>3</v>
      </c>
      <c r="F534" t="s">
        <v>400</v>
      </c>
      <c r="G534" t="s">
        <v>402</v>
      </c>
      <c r="H534" t="s">
        <v>408</v>
      </c>
      <c r="I534" t="s">
        <v>409</v>
      </c>
      <c r="J534" t="s">
        <v>437</v>
      </c>
      <c r="K534" t="s">
        <v>583</v>
      </c>
    </row>
    <row r="535" spans="1:11" x14ac:dyDescent="0.35">
      <c r="A535" t="s">
        <v>166</v>
      </c>
      <c r="B535" t="s">
        <v>276</v>
      </c>
      <c r="C535">
        <v>2179.91</v>
      </c>
      <c r="D535" t="s">
        <v>392</v>
      </c>
      <c r="E535">
        <v>5</v>
      </c>
      <c r="F535" t="s">
        <v>401</v>
      </c>
      <c r="G535" t="s">
        <v>402</v>
      </c>
      <c r="H535" t="s">
        <v>408</v>
      </c>
      <c r="I535" t="s">
        <v>409</v>
      </c>
      <c r="J535" t="s">
        <v>437</v>
      </c>
      <c r="K535" t="s">
        <v>582</v>
      </c>
    </row>
    <row r="536" spans="1:11" x14ac:dyDescent="0.35">
      <c r="A536" t="s">
        <v>165</v>
      </c>
      <c r="B536" t="s">
        <v>267</v>
      </c>
      <c r="C536">
        <v>2157.77</v>
      </c>
      <c r="D536" t="s">
        <v>394</v>
      </c>
      <c r="E536">
        <v>4</v>
      </c>
      <c r="F536" t="s">
        <v>400</v>
      </c>
      <c r="G536" t="s">
        <v>402</v>
      </c>
      <c r="H536" t="s">
        <v>406</v>
      </c>
      <c r="I536" t="s">
        <v>409</v>
      </c>
      <c r="J536" t="s">
        <v>437</v>
      </c>
      <c r="K536" t="s">
        <v>583</v>
      </c>
    </row>
    <row r="537" spans="1:11" x14ac:dyDescent="0.35">
      <c r="A537" t="s">
        <v>192</v>
      </c>
      <c r="B537" t="s">
        <v>354</v>
      </c>
      <c r="C537">
        <v>2262.37</v>
      </c>
      <c r="D537" t="s">
        <v>393</v>
      </c>
      <c r="E537">
        <v>5</v>
      </c>
      <c r="F537" t="s">
        <v>401</v>
      </c>
      <c r="G537" t="s">
        <v>402</v>
      </c>
      <c r="H537" t="s">
        <v>408</v>
      </c>
      <c r="I537" t="s">
        <v>409</v>
      </c>
      <c r="J537" t="s">
        <v>437</v>
      </c>
      <c r="K537" t="s">
        <v>583</v>
      </c>
    </row>
    <row r="538" spans="1:11" x14ac:dyDescent="0.35">
      <c r="A538" t="s">
        <v>48</v>
      </c>
      <c r="B538" t="s">
        <v>246</v>
      </c>
      <c r="C538">
        <v>4346.99</v>
      </c>
      <c r="D538" t="s">
        <v>396</v>
      </c>
      <c r="E538">
        <v>5</v>
      </c>
      <c r="F538" t="s">
        <v>399</v>
      </c>
      <c r="G538" t="s">
        <v>403</v>
      </c>
      <c r="H538" t="s">
        <v>407</v>
      </c>
      <c r="I538" t="s">
        <v>410</v>
      </c>
      <c r="J538" t="s">
        <v>430</v>
      </c>
      <c r="K538" t="s">
        <v>582</v>
      </c>
    </row>
    <row r="539" spans="1:11" x14ac:dyDescent="0.35">
      <c r="A539" t="s">
        <v>49</v>
      </c>
      <c r="B539" t="s">
        <v>244</v>
      </c>
      <c r="C539">
        <v>523.52</v>
      </c>
      <c r="D539" t="s">
        <v>391</v>
      </c>
      <c r="E539">
        <v>2</v>
      </c>
      <c r="F539" t="s">
        <v>398</v>
      </c>
      <c r="G539" t="s">
        <v>402</v>
      </c>
      <c r="H539" t="s">
        <v>405</v>
      </c>
      <c r="I539" t="s">
        <v>410</v>
      </c>
      <c r="J539" t="s">
        <v>430</v>
      </c>
      <c r="K539" t="s">
        <v>583</v>
      </c>
    </row>
    <row r="540" spans="1:11" x14ac:dyDescent="0.35">
      <c r="A540" t="s">
        <v>61</v>
      </c>
      <c r="B540" t="s">
        <v>240</v>
      </c>
      <c r="C540">
        <v>1667.9</v>
      </c>
      <c r="D540" t="s">
        <v>394</v>
      </c>
      <c r="E540">
        <v>2</v>
      </c>
      <c r="F540" t="s">
        <v>399</v>
      </c>
      <c r="G540" t="s">
        <v>403</v>
      </c>
      <c r="H540" t="s">
        <v>404</v>
      </c>
      <c r="I540" t="s">
        <v>410</v>
      </c>
      <c r="J540" t="s">
        <v>430</v>
      </c>
      <c r="K540" t="s">
        <v>583</v>
      </c>
    </row>
    <row r="541" spans="1:11" x14ac:dyDescent="0.35">
      <c r="A541" t="s">
        <v>106</v>
      </c>
      <c r="B541" t="s">
        <v>323</v>
      </c>
      <c r="C541">
        <v>1883.96</v>
      </c>
      <c r="D541" t="s">
        <v>393</v>
      </c>
      <c r="E541">
        <v>5</v>
      </c>
      <c r="F541" t="s">
        <v>397</v>
      </c>
      <c r="G541" t="s">
        <v>403</v>
      </c>
      <c r="H541" t="s">
        <v>408</v>
      </c>
      <c r="I541" t="s">
        <v>409</v>
      </c>
      <c r="J541" t="s">
        <v>430</v>
      </c>
      <c r="K541" t="s">
        <v>582</v>
      </c>
    </row>
    <row r="542" spans="1:11" x14ac:dyDescent="0.35">
      <c r="A542" t="s">
        <v>57</v>
      </c>
      <c r="B542" t="s">
        <v>303</v>
      </c>
      <c r="C542">
        <v>1879.54</v>
      </c>
      <c r="D542" t="s">
        <v>393</v>
      </c>
      <c r="E542">
        <v>1</v>
      </c>
      <c r="F542" t="s">
        <v>398</v>
      </c>
      <c r="G542" t="s">
        <v>403</v>
      </c>
      <c r="H542" t="s">
        <v>406</v>
      </c>
      <c r="I542" t="s">
        <v>410</v>
      </c>
      <c r="J542" t="s">
        <v>430</v>
      </c>
      <c r="K542" t="s">
        <v>583</v>
      </c>
    </row>
    <row r="543" spans="1:11" x14ac:dyDescent="0.35">
      <c r="A543" t="s">
        <v>105</v>
      </c>
      <c r="B543" t="s">
        <v>220</v>
      </c>
      <c r="C543">
        <v>284.58999999999997</v>
      </c>
      <c r="D543" t="s">
        <v>395</v>
      </c>
      <c r="E543">
        <v>4</v>
      </c>
      <c r="F543" t="s">
        <v>399</v>
      </c>
      <c r="G543" t="s">
        <v>403</v>
      </c>
      <c r="H543" t="s">
        <v>406</v>
      </c>
      <c r="I543" t="s">
        <v>409</v>
      </c>
      <c r="J543" t="s">
        <v>430</v>
      </c>
      <c r="K543" t="s">
        <v>582</v>
      </c>
    </row>
    <row r="544" spans="1:11" x14ac:dyDescent="0.35">
      <c r="A544" t="s">
        <v>74</v>
      </c>
      <c r="B544" t="s">
        <v>219</v>
      </c>
      <c r="C544">
        <v>546.27</v>
      </c>
      <c r="D544" t="s">
        <v>394</v>
      </c>
      <c r="E544">
        <v>5</v>
      </c>
      <c r="F544" t="s">
        <v>398</v>
      </c>
      <c r="G544" t="s">
        <v>403</v>
      </c>
      <c r="H544" t="s">
        <v>405</v>
      </c>
      <c r="I544" t="s">
        <v>410</v>
      </c>
      <c r="J544" t="s">
        <v>430</v>
      </c>
      <c r="K544" t="s">
        <v>583</v>
      </c>
    </row>
    <row r="545" spans="1:11" x14ac:dyDescent="0.35">
      <c r="A545" t="s">
        <v>54</v>
      </c>
      <c r="B545" t="s">
        <v>310</v>
      </c>
      <c r="C545">
        <v>2746.99</v>
      </c>
      <c r="D545" t="s">
        <v>391</v>
      </c>
      <c r="E545">
        <v>2</v>
      </c>
      <c r="F545" t="s">
        <v>397</v>
      </c>
      <c r="G545" t="s">
        <v>403</v>
      </c>
      <c r="H545" t="s">
        <v>408</v>
      </c>
      <c r="I545" t="s">
        <v>409</v>
      </c>
      <c r="J545" t="s">
        <v>430</v>
      </c>
      <c r="K545" t="s">
        <v>583</v>
      </c>
    </row>
    <row r="546" spans="1:11" x14ac:dyDescent="0.35">
      <c r="A546" t="s">
        <v>129</v>
      </c>
      <c r="B546" t="s">
        <v>277</v>
      </c>
      <c r="C546">
        <v>2467.92</v>
      </c>
      <c r="D546" t="s">
        <v>393</v>
      </c>
      <c r="E546">
        <v>4</v>
      </c>
      <c r="F546" t="s">
        <v>400</v>
      </c>
      <c r="G546" t="s">
        <v>402</v>
      </c>
      <c r="H546" t="s">
        <v>406</v>
      </c>
      <c r="I546" t="s">
        <v>410</v>
      </c>
      <c r="J546" t="s">
        <v>430</v>
      </c>
      <c r="K546" t="s">
        <v>582</v>
      </c>
    </row>
    <row r="547" spans="1:11" x14ac:dyDescent="0.35">
      <c r="A547" t="s">
        <v>50</v>
      </c>
      <c r="B547" t="s">
        <v>236</v>
      </c>
      <c r="C547">
        <v>2552.67</v>
      </c>
      <c r="D547" t="s">
        <v>394</v>
      </c>
      <c r="E547">
        <v>3</v>
      </c>
      <c r="F547" t="s">
        <v>400</v>
      </c>
      <c r="G547" t="s">
        <v>402</v>
      </c>
      <c r="H547" t="s">
        <v>404</v>
      </c>
      <c r="I547" t="s">
        <v>410</v>
      </c>
      <c r="J547" t="s">
        <v>430</v>
      </c>
      <c r="K547" t="s">
        <v>583</v>
      </c>
    </row>
    <row r="548" spans="1:11" x14ac:dyDescent="0.35">
      <c r="A548" t="s">
        <v>156</v>
      </c>
      <c r="B548" t="s">
        <v>258</v>
      </c>
      <c r="C548">
        <v>2660.61</v>
      </c>
      <c r="D548" t="s">
        <v>395</v>
      </c>
      <c r="E548">
        <v>1</v>
      </c>
      <c r="F548" t="s">
        <v>401</v>
      </c>
      <c r="G548" t="s">
        <v>402</v>
      </c>
      <c r="H548" t="s">
        <v>408</v>
      </c>
      <c r="I548" t="s">
        <v>409</v>
      </c>
      <c r="J548" t="s">
        <v>499</v>
      </c>
      <c r="K548" t="s">
        <v>582</v>
      </c>
    </row>
    <row r="549" spans="1:11" x14ac:dyDescent="0.35">
      <c r="A549" t="s">
        <v>189</v>
      </c>
      <c r="B549" t="s">
        <v>350</v>
      </c>
      <c r="C549">
        <v>1579.46</v>
      </c>
      <c r="D549" t="s">
        <v>394</v>
      </c>
      <c r="E549">
        <v>4</v>
      </c>
      <c r="F549" t="s">
        <v>401</v>
      </c>
      <c r="G549" t="s">
        <v>402</v>
      </c>
      <c r="H549" t="s">
        <v>404</v>
      </c>
      <c r="I549" t="s">
        <v>409</v>
      </c>
      <c r="J549" t="s">
        <v>499</v>
      </c>
      <c r="K549" t="s">
        <v>582</v>
      </c>
    </row>
    <row r="550" spans="1:11" x14ac:dyDescent="0.35">
      <c r="A550" t="s">
        <v>65</v>
      </c>
      <c r="B550" t="s">
        <v>241</v>
      </c>
      <c r="C550">
        <v>2822.73</v>
      </c>
      <c r="D550" t="s">
        <v>393</v>
      </c>
      <c r="E550">
        <v>1</v>
      </c>
      <c r="F550" t="s">
        <v>401</v>
      </c>
      <c r="G550" t="s">
        <v>403</v>
      </c>
      <c r="H550" t="s">
        <v>405</v>
      </c>
      <c r="I550" t="s">
        <v>410</v>
      </c>
      <c r="J550" t="s">
        <v>499</v>
      </c>
      <c r="K550" t="s">
        <v>583</v>
      </c>
    </row>
    <row r="551" spans="1:11" x14ac:dyDescent="0.35">
      <c r="A551" t="s">
        <v>25</v>
      </c>
      <c r="B551" t="s">
        <v>249</v>
      </c>
      <c r="C551">
        <v>354.73</v>
      </c>
      <c r="D551" t="s">
        <v>393</v>
      </c>
      <c r="E551">
        <v>2</v>
      </c>
      <c r="F551" t="s">
        <v>401</v>
      </c>
      <c r="G551" t="s">
        <v>403</v>
      </c>
      <c r="H551" t="s">
        <v>406</v>
      </c>
      <c r="I551" t="s">
        <v>410</v>
      </c>
      <c r="J551" t="s">
        <v>499</v>
      </c>
      <c r="K551" t="s">
        <v>583</v>
      </c>
    </row>
    <row r="552" spans="1:11" x14ac:dyDescent="0.35">
      <c r="A552" t="s">
        <v>90</v>
      </c>
      <c r="B552" t="s">
        <v>245</v>
      </c>
      <c r="C552">
        <v>221.43</v>
      </c>
      <c r="D552" t="s">
        <v>396</v>
      </c>
      <c r="E552">
        <v>4</v>
      </c>
      <c r="F552" t="s">
        <v>401</v>
      </c>
      <c r="G552" t="s">
        <v>403</v>
      </c>
      <c r="H552" t="s">
        <v>405</v>
      </c>
      <c r="I552" t="s">
        <v>409</v>
      </c>
      <c r="J552" t="s">
        <v>499</v>
      </c>
      <c r="K552" t="s">
        <v>582</v>
      </c>
    </row>
    <row r="553" spans="1:11" x14ac:dyDescent="0.35">
      <c r="A553" t="s">
        <v>25</v>
      </c>
      <c r="B553" t="s">
        <v>223</v>
      </c>
      <c r="C553">
        <v>4628.32</v>
      </c>
      <c r="D553" t="s">
        <v>396</v>
      </c>
      <c r="E553">
        <v>4</v>
      </c>
      <c r="F553" t="s">
        <v>398</v>
      </c>
      <c r="G553" t="s">
        <v>403</v>
      </c>
      <c r="H553" t="s">
        <v>407</v>
      </c>
      <c r="I553" t="s">
        <v>410</v>
      </c>
      <c r="J553" t="s">
        <v>421</v>
      </c>
      <c r="K553" t="s">
        <v>582</v>
      </c>
    </row>
    <row r="554" spans="1:11" x14ac:dyDescent="0.35">
      <c r="A554" t="s">
        <v>134</v>
      </c>
      <c r="B554" t="s">
        <v>291</v>
      </c>
      <c r="C554">
        <v>1559.42</v>
      </c>
      <c r="D554" t="s">
        <v>393</v>
      </c>
      <c r="E554">
        <v>1</v>
      </c>
      <c r="F554" t="s">
        <v>400</v>
      </c>
      <c r="G554" t="s">
        <v>402</v>
      </c>
      <c r="H554" t="s">
        <v>408</v>
      </c>
      <c r="I554" t="s">
        <v>409</v>
      </c>
      <c r="J554" t="s">
        <v>421</v>
      </c>
      <c r="K554" t="s">
        <v>582</v>
      </c>
    </row>
    <row r="555" spans="1:11" x14ac:dyDescent="0.35">
      <c r="A555" t="s">
        <v>28</v>
      </c>
      <c r="B555" t="s">
        <v>321</v>
      </c>
      <c r="C555">
        <v>2428.52</v>
      </c>
      <c r="D555" t="s">
        <v>394</v>
      </c>
      <c r="E555">
        <v>4</v>
      </c>
      <c r="F555" t="s">
        <v>400</v>
      </c>
      <c r="G555" t="s">
        <v>402</v>
      </c>
      <c r="H555" t="s">
        <v>404</v>
      </c>
      <c r="I555" t="s">
        <v>409</v>
      </c>
      <c r="J555" t="s">
        <v>421</v>
      </c>
      <c r="K555" t="s">
        <v>583</v>
      </c>
    </row>
    <row r="556" spans="1:11" x14ac:dyDescent="0.35">
      <c r="A556" t="s">
        <v>125</v>
      </c>
      <c r="B556" t="s">
        <v>335</v>
      </c>
      <c r="C556">
        <v>1627.6</v>
      </c>
      <c r="D556" t="s">
        <v>393</v>
      </c>
      <c r="E556">
        <v>4</v>
      </c>
      <c r="F556" t="s">
        <v>401</v>
      </c>
      <c r="G556" t="s">
        <v>402</v>
      </c>
      <c r="H556" t="s">
        <v>407</v>
      </c>
      <c r="I556" t="s">
        <v>409</v>
      </c>
      <c r="J556" t="s">
        <v>421</v>
      </c>
      <c r="K556" t="s">
        <v>582</v>
      </c>
    </row>
    <row r="557" spans="1:11" x14ac:dyDescent="0.35">
      <c r="A557" t="s">
        <v>183</v>
      </c>
      <c r="B557" t="s">
        <v>269</v>
      </c>
      <c r="C557">
        <v>4997.63</v>
      </c>
      <c r="D557" t="s">
        <v>395</v>
      </c>
      <c r="E557">
        <v>1</v>
      </c>
      <c r="F557" t="s">
        <v>399</v>
      </c>
      <c r="G557" t="s">
        <v>403</v>
      </c>
      <c r="H557" t="s">
        <v>407</v>
      </c>
      <c r="I557" t="s">
        <v>409</v>
      </c>
      <c r="J557" t="s">
        <v>421</v>
      </c>
      <c r="K557" t="s">
        <v>582</v>
      </c>
    </row>
    <row r="558" spans="1:11" x14ac:dyDescent="0.35">
      <c r="A558" t="s">
        <v>137</v>
      </c>
      <c r="B558" t="s">
        <v>247</v>
      </c>
      <c r="C558">
        <v>3646.79</v>
      </c>
      <c r="D558" t="s">
        <v>391</v>
      </c>
      <c r="E558">
        <v>4</v>
      </c>
      <c r="F558" t="s">
        <v>397</v>
      </c>
      <c r="G558" t="s">
        <v>403</v>
      </c>
      <c r="H558" t="s">
        <v>408</v>
      </c>
      <c r="I558" t="s">
        <v>409</v>
      </c>
      <c r="J558" t="s">
        <v>421</v>
      </c>
      <c r="K558" t="s">
        <v>582</v>
      </c>
    </row>
    <row r="559" spans="1:11" x14ac:dyDescent="0.35">
      <c r="A559" t="s">
        <v>39</v>
      </c>
      <c r="B559" t="s">
        <v>360</v>
      </c>
      <c r="C559">
        <v>1362.67</v>
      </c>
      <c r="D559" t="s">
        <v>391</v>
      </c>
      <c r="E559">
        <v>4</v>
      </c>
      <c r="F559" t="s">
        <v>398</v>
      </c>
      <c r="G559" t="s">
        <v>402</v>
      </c>
      <c r="H559" t="s">
        <v>408</v>
      </c>
      <c r="I559" t="s">
        <v>409</v>
      </c>
      <c r="J559" t="s">
        <v>421</v>
      </c>
      <c r="K559" t="s">
        <v>582</v>
      </c>
    </row>
    <row r="560" spans="1:11" x14ac:dyDescent="0.35">
      <c r="A560" t="s">
        <v>100</v>
      </c>
      <c r="B560" t="s">
        <v>346</v>
      </c>
      <c r="C560">
        <v>3662.12</v>
      </c>
      <c r="D560" t="s">
        <v>391</v>
      </c>
      <c r="E560">
        <v>5</v>
      </c>
      <c r="F560" t="s">
        <v>400</v>
      </c>
      <c r="G560" t="s">
        <v>403</v>
      </c>
      <c r="H560" t="s">
        <v>405</v>
      </c>
      <c r="I560" t="s">
        <v>410</v>
      </c>
      <c r="J560" t="s">
        <v>421</v>
      </c>
      <c r="K560" t="s">
        <v>583</v>
      </c>
    </row>
    <row r="561" spans="1:11" x14ac:dyDescent="0.35">
      <c r="A561" t="s">
        <v>135</v>
      </c>
      <c r="B561" t="s">
        <v>254</v>
      </c>
      <c r="C561">
        <v>980.14</v>
      </c>
      <c r="D561" t="s">
        <v>392</v>
      </c>
      <c r="E561">
        <v>3</v>
      </c>
      <c r="F561" t="s">
        <v>400</v>
      </c>
      <c r="G561" t="s">
        <v>403</v>
      </c>
      <c r="H561" t="s">
        <v>406</v>
      </c>
      <c r="I561" t="s">
        <v>410</v>
      </c>
      <c r="J561" t="s">
        <v>421</v>
      </c>
      <c r="K561" t="s">
        <v>583</v>
      </c>
    </row>
    <row r="562" spans="1:11" x14ac:dyDescent="0.35">
      <c r="A562" t="s">
        <v>102</v>
      </c>
      <c r="B562" t="s">
        <v>299</v>
      </c>
      <c r="C562">
        <v>4288.7</v>
      </c>
      <c r="D562" t="s">
        <v>391</v>
      </c>
      <c r="E562">
        <v>1</v>
      </c>
      <c r="F562" t="s">
        <v>400</v>
      </c>
      <c r="G562" t="s">
        <v>403</v>
      </c>
      <c r="H562" t="s">
        <v>407</v>
      </c>
      <c r="I562" t="s">
        <v>409</v>
      </c>
      <c r="J562" t="s">
        <v>461</v>
      </c>
      <c r="K562" t="s">
        <v>582</v>
      </c>
    </row>
    <row r="563" spans="1:11" x14ac:dyDescent="0.35">
      <c r="A563" t="s">
        <v>137</v>
      </c>
      <c r="B563" t="s">
        <v>214</v>
      </c>
      <c r="C563">
        <v>3492.32</v>
      </c>
      <c r="D563" t="s">
        <v>391</v>
      </c>
      <c r="E563">
        <v>2</v>
      </c>
      <c r="F563" t="s">
        <v>400</v>
      </c>
      <c r="G563" t="s">
        <v>402</v>
      </c>
      <c r="H563" t="s">
        <v>408</v>
      </c>
      <c r="I563" t="s">
        <v>409</v>
      </c>
      <c r="J563" t="s">
        <v>461</v>
      </c>
      <c r="K563" t="s">
        <v>583</v>
      </c>
    </row>
    <row r="564" spans="1:11" x14ac:dyDescent="0.35">
      <c r="A564" t="s">
        <v>121</v>
      </c>
      <c r="B564" t="s">
        <v>262</v>
      </c>
      <c r="C564">
        <v>3118.16</v>
      </c>
      <c r="D564" t="s">
        <v>392</v>
      </c>
      <c r="E564">
        <v>1</v>
      </c>
      <c r="F564" t="s">
        <v>397</v>
      </c>
      <c r="G564" t="s">
        <v>402</v>
      </c>
      <c r="H564" t="s">
        <v>405</v>
      </c>
      <c r="I564" t="s">
        <v>410</v>
      </c>
      <c r="J564" t="s">
        <v>461</v>
      </c>
      <c r="K564" t="s">
        <v>583</v>
      </c>
    </row>
    <row r="565" spans="1:11" x14ac:dyDescent="0.35">
      <c r="A565" t="s">
        <v>171</v>
      </c>
      <c r="B565" t="s">
        <v>283</v>
      </c>
      <c r="C565">
        <v>4716.5200000000004</v>
      </c>
      <c r="D565" t="s">
        <v>393</v>
      </c>
      <c r="E565">
        <v>2</v>
      </c>
      <c r="F565" t="s">
        <v>400</v>
      </c>
      <c r="G565" t="s">
        <v>403</v>
      </c>
      <c r="H565" t="s">
        <v>405</v>
      </c>
      <c r="I565" t="s">
        <v>410</v>
      </c>
      <c r="J565" t="s">
        <v>461</v>
      </c>
      <c r="K565" t="s">
        <v>583</v>
      </c>
    </row>
    <row r="566" spans="1:11" x14ac:dyDescent="0.35">
      <c r="A566" t="s">
        <v>129</v>
      </c>
      <c r="B566" t="s">
        <v>263</v>
      </c>
      <c r="C566">
        <v>1154.6500000000001</v>
      </c>
      <c r="D566" t="s">
        <v>395</v>
      </c>
      <c r="E566">
        <v>1</v>
      </c>
      <c r="F566" t="s">
        <v>399</v>
      </c>
      <c r="G566" t="s">
        <v>402</v>
      </c>
      <c r="H566" t="s">
        <v>406</v>
      </c>
      <c r="I566" t="s">
        <v>409</v>
      </c>
      <c r="J566" t="s">
        <v>461</v>
      </c>
      <c r="K566" t="s">
        <v>582</v>
      </c>
    </row>
    <row r="567" spans="1:11" x14ac:dyDescent="0.35">
      <c r="A567" t="s">
        <v>171</v>
      </c>
      <c r="B567" t="s">
        <v>299</v>
      </c>
      <c r="C567">
        <v>3281.95</v>
      </c>
      <c r="D567" t="s">
        <v>396</v>
      </c>
      <c r="E567">
        <v>4</v>
      </c>
      <c r="F567" t="s">
        <v>398</v>
      </c>
      <c r="G567" t="s">
        <v>403</v>
      </c>
      <c r="H567" t="s">
        <v>404</v>
      </c>
      <c r="I567" t="s">
        <v>410</v>
      </c>
      <c r="J567" t="s">
        <v>461</v>
      </c>
      <c r="K567" t="s">
        <v>583</v>
      </c>
    </row>
    <row r="568" spans="1:11" x14ac:dyDescent="0.35">
      <c r="A568" t="s">
        <v>175</v>
      </c>
      <c r="B568" t="s">
        <v>266</v>
      </c>
      <c r="C568">
        <v>3864.14</v>
      </c>
      <c r="D568" t="s">
        <v>393</v>
      </c>
      <c r="E568">
        <v>5</v>
      </c>
      <c r="F568" t="s">
        <v>399</v>
      </c>
      <c r="G568" t="s">
        <v>403</v>
      </c>
      <c r="H568" t="s">
        <v>408</v>
      </c>
      <c r="I568" t="s">
        <v>409</v>
      </c>
      <c r="J568" t="s">
        <v>461</v>
      </c>
      <c r="K568" t="s">
        <v>583</v>
      </c>
    </row>
    <row r="569" spans="1:11" x14ac:dyDescent="0.35">
      <c r="A569" t="s">
        <v>138</v>
      </c>
      <c r="B569" t="s">
        <v>268</v>
      </c>
      <c r="C569">
        <v>4791.68</v>
      </c>
      <c r="D569" t="s">
        <v>395</v>
      </c>
      <c r="E569">
        <v>5</v>
      </c>
      <c r="F569" t="s">
        <v>400</v>
      </c>
      <c r="G569" t="s">
        <v>403</v>
      </c>
      <c r="H569" t="s">
        <v>405</v>
      </c>
      <c r="I569" t="s">
        <v>410</v>
      </c>
      <c r="J569" t="s">
        <v>484</v>
      </c>
      <c r="K569" t="s">
        <v>582</v>
      </c>
    </row>
    <row r="570" spans="1:11" x14ac:dyDescent="0.35">
      <c r="A570" t="s">
        <v>78</v>
      </c>
      <c r="B570" t="s">
        <v>371</v>
      </c>
      <c r="C570">
        <v>3668.79</v>
      </c>
      <c r="D570" t="s">
        <v>396</v>
      </c>
      <c r="E570">
        <v>2</v>
      </c>
      <c r="F570" t="s">
        <v>399</v>
      </c>
      <c r="G570" t="s">
        <v>402</v>
      </c>
      <c r="H570" t="s">
        <v>408</v>
      </c>
      <c r="I570" t="s">
        <v>410</v>
      </c>
      <c r="J570" t="s">
        <v>484</v>
      </c>
      <c r="K570" t="s">
        <v>582</v>
      </c>
    </row>
    <row r="571" spans="1:11" x14ac:dyDescent="0.35">
      <c r="A571" t="s">
        <v>175</v>
      </c>
      <c r="B571" t="s">
        <v>365</v>
      </c>
      <c r="C571">
        <v>2047.73</v>
      </c>
      <c r="D571" t="s">
        <v>395</v>
      </c>
      <c r="E571">
        <v>4</v>
      </c>
      <c r="F571" t="s">
        <v>397</v>
      </c>
      <c r="G571" t="s">
        <v>403</v>
      </c>
      <c r="H571" t="s">
        <v>404</v>
      </c>
      <c r="I571" t="s">
        <v>409</v>
      </c>
      <c r="J571" t="s">
        <v>484</v>
      </c>
      <c r="K571" t="s">
        <v>583</v>
      </c>
    </row>
    <row r="572" spans="1:11" x14ac:dyDescent="0.35">
      <c r="A572" t="s">
        <v>79</v>
      </c>
      <c r="B572" t="s">
        <v>371</v>
      </c>
      <c r="C572">
        <v>3114.22</v>
      </c>
      <c r="D572" t="s">
        <v>391</v>
      </c>
      <c r="E572">
        <v>5</v>
      </c>
      <c r="F572" t="s">
        <v>400</v>
      </c>
      <c r="G572" t="s">
        <v>403</v>
      </c>
      <c r="H572" t="s">
        <v>405</v>
      </c>
      <c r="I572" t="s">
        <v>409</v>
      </c>
      <c r="J572" t="s">
        <v>484</v>
      </c>
      <c r="K572" t="s">
        <v>582</v>
      </c>
    </row>
    <row r="573" spans="1:11" x14ac:dyDescent="0.35">
      <c r="A573" t="s">
        <v>117</v>
      </c>
      <c r="B573" t="s">
        <v>308</v>
      </c>
      <c r="C573">
        <v>1724.74</v>
      </c>
      <c r="D573" t="s">
        <v>392</v>
      </c>
      <c r="E573">
        <v>2</v>
      </c>
      <c r="F573" t="s">
        <v>398</v>
      </c>
      <c r="G573" t="s">
        <v>403</v>
      </c>
      <c r="H573" t="s">
        <v>407</v>
      </c>
      <c r="I573" t="s">
        <v>410</v>
      </c>
      <c r="J573" t="s">
        <v>469</v>
      </c>
      <c r="K573" t="s">
        <v>582</v>
      </c>
    </row>
    <row r="574" spans="1:11" x14ac:dyDescent="0.35">
      <c r="A574" t="s">
        <v>68</v>
      </c>
      <c r="B574" t="s">
        <v>232</v>
      </c>
      <c r="C574">
        <v>2480.9</v>
      </c>
      <c r="D574" t="s">
        <v>392</v>
      </c>
      <c r="E574">
        <v>2</v>
      </c>
      <c r="F574" t="s">
        <v>398</v>
      </c>
      <c r="G574" t="s">
        <v>403</v>
      </c>
      <c r="H574" t="s">
        <v>404</v>
      </c>
      <c r="I574" t="s">
        <v>410</v>
      </c>
      <c r="J574" t="s">
        <v>469</v>
      </c>
      <c r="K574" t="s">
        <v>583</v>
      </c>
    </row>
    <row r="575" spans="1:11" x14ac:dyDescent="0.35">
      <c r="A575" t="s">
        <v>170</v>
      </c>
      <c r="B575" t="s">
        <v>265</v>
      </c>
      <c r="C575">
        <v>3699.96</v>
      </c>
      <c r="D575" t="s">
        <v>391</v>
      </c>
      <c r="E575">
        <v>2</v>
      </c>
      <c r="F575" t="s">
        <v>398</v>
      </c>
      <c r="G575" t="s">
        <v>402</v>
      </c>
      <c r="H575" t="s">
        <v>406</v>
      </c>
      <c r="I575" t="s">
        <v>410</v>
      </c>
      <c r="J575" t="s">
        <v>469</v>
      </c>
      <c r="K575" t="s">
        <v>582</v>
      </c>
    </row>
    <row r="576" spans="1:11" x14ac:dyDescent="0.35">
      <c r="A576" t="s">
        <v>153</v>
      </c>
      <c r="B576" t="s">
        <v>385</v>
      </c>
      <c r="C576">
        <v>4513.49</v>
      </c>
      <c r="D576" t="s">
        <v>391</v>
      </c>
      <c r="E576">
        <v>4</v>
      </c>
      <c r="F576" t="s">
        <v>398</v>
      </c>
      <c r="G576" t="s">
        <v>402</v>
      </c>
      <c r="H576" t="s">
        <v>408</v>
      </c>
      <c r="I576" t="s">
        <v>410</v>
      </c>
      <c r="J576" t="s">
        <v>573</v>
      </c>
      <c r="K576" t="s">
        <v>583</v>
      </c>
    </row>
    <row r="577" spans="1:11" x14ac:dyDescent="0.35">
      <c r="A577" t="s">
        <v>126</v>
      </c>
      <c r="B577" t="s">
        <v>237</v>
      </c>
      <c r="C577">
        <v>2915.69</v>
      </c>
      <c r="D577" t="s">
        <v>392</v>
      </c>
      <c r="E577">
        <v>4</v>
      </c>
      <c r="F577" t="s">
        <v>399</v>
      </c>
      <c r="G577" t="s">
        <v>403</v>
      </c>
      <c r="H577" t="s">
        <v>405</v>
      </c>
      <c r="I577" t="s">
        <v>409</v>
      </c>
      <c r="J577" t="s">
        <v>573</v>
      </c>
      <c r="K577" t="s">
        <v>583</v>
      </c>
    </row>
    <row r="578" spans="1:11" x14ac:dyDescent="0.35">
      <c r="A578" t="s">
        <v>101</v>
      </c>
      <c r="B578" t="s">
        <v>320</v>
      </c>
      <c r="C578">
        <v>3558.25</v>
      </c>
      <c r="D578" t="s">
        <v>396</v>
      </c>
      <c r="E578">
        <v>5</v>
      </c>
      <c r="F578" t="s">
        <v>401</v>
      </c>
      <c r="G578" t="s">
        <v>402</v>
      </c>
      <c r="H578" t="s">
        <v>405</v>
      </c>
      <c r="I578" t="s">
        <v>409</v>
      </c>
      <c r="J578" t="s">
        <v>573</v>
      </c>
      <c r="K578" t="s">
        <v>583</v>
      </c>
    </row>
    <row r="579" spans="1:11" x14ac:dyDescent="0.35">
      <c r="A579" t="s">
        <v>16</v>
      </c>
      <c r="B579" t="s">
        <v>215</v>
      </c>
      <c r="C579">
        <v>1396.79</v>
      </c>
      <c r="D579" t="s">
        <v>393</v>
      </c>
      <c r="E579">
        <v>2</v>
      </c>
      <c r="F579" t="s">
        <v>399</v>
      </c>
      <c r="G579" t="s">
        <v>402</v>
      </c>
      <c r="H579" t="s">
        <v>404</v>
      </c>
      <c r="I579" t="s">
        <v>409</v>
      </c>
      <c r="J579" t="s">
        <v>416</v>
      </c>
      <c r="K579" t="s">
        <v>583</v>
      </c>
    </row>
    <row r="580" spans="1:11" x14ac:dyDescent="0.35">
      <c r="A580" t="s">
        <v>35</v>
      </c>
      <c r="B580" t="s">
        <v>231</v>
      </c>
      <c r="C580">
        <v>4532.92</v>
      </c>
      <c r="D580" t="s">
        <v>395</v>
      </c>
      <c r="E580">
        <v>2</v>
      </c>
      <c r="F580" t="s">
        <v>398</v>
      </c>
      <c r="G580" t="s">
        <v>402</v>
      </c>
      <c r="H580" t="s">
        <v>408</v>
      </c>
      <c r="I580" t="s">
        <v>409</v>
      </c>
      <c r="J580" t="s">
        <v>416</v>
      </c>
      <c r="K580" t="s">
        <v>583</v>
      </c>
    </row>
    <row r="581" spans="1:11" x14ac:dyDescent="0.35">
      <c r="A581" t="s">
        <v>44</v>
      </c>
      <c r="B581" t="s">
        <v>240</v>
      </c>
      <c r="C581">
        <v>2436.9299999999998</v>
      </c>
      <c r="D581" t="s">
        <v>394</v>
      </c>
      <c r="E581">
        <v>4</v>
      </c>
      <c r="F581" t="s">
        <v>401</v>
      </c>
      <c r="G581" t="s">
        <v>403</v>
      </c>
      <c r="H581" t="s">
        <v>407</v>
      </c>
      <c r="I581" t="s">
        <v>410</v>
      </c>
      <c r="J581" t="s">
        <v>416</v>
      </c>
      <c r="K581" t="s">
        <v>582</v>
      </c>
    </row>
    <row r="582" spans="1:11" x14ac:dyDescent="0.35">
      <c r="A582" t="s">
        <v>67</v>
      </c>
      <c r="B582" t="s">
        <v>263</v>
      </c>
      <c r="C582">
        <v>3977.78</v>
      </c>
      <c r="D582" t="s">
        <v>396</v>
      </c>
      <c r="E582">
        <v>3</v>
      </c>
      <c r="F582" t="s">
        <v>399</v>
      </c>
      <c r="G582" t="s">
        <v>402</v>
      </c>
      <c r="H582" t="s">
        <v>407</v>
      </c>
      <c r="I582" t="s">
        <v>409</v>
      </c>
      <c r="J582" t="s">
        <v>416</v>
      </c>
      <c r="K582" t="s">
        <v>583</v>
      </c>
    </row>
    <row r="583" spans="1:11" x14ac:dyDescent="0.35">
      <c r="A583" t="s">
        <v>77</v>
      </c>
      <c r="B583" t="s">
        <v>330</v>
      </c>
      <c r="C583">
        <v>3018.96</v>
      </c>
      <c r="D583" t="s">
        <v>392</v>
      </c>
      <c r="E583">
        <v>2</v>
      </c>
      <c r="F583" t="s">
        <v>399</v>
      </c>
      <c r="G583" t="s">
        <v>403</v>
      </c>
      <c r="H583" t="s">
        <v>405</v>
      </c>
      <c r="I583" t="s">
        <v>409</v>
      </c>
      <c r="J583" t="s">
        <v>416</v>
      </c>
      <c r="K583" t="s">
        <v>583</v>
      </c>
    </row>
    <row r="584" spans="1:11" x14ac:dyDescent="0.35">
      <c r="A584" t="s">
        <v>143</v>
      </c>
      <c r="B584" t="s">
        <v>262</v>
      </c>
      <c r="C584">
        <v>2457.19</v>
      </c>
      <c r="D584" t="s">
        <v>392</v>
      </c>
      <c r="E584">
        <v>4</v>
      </c>
      <c r="F584" t="s">
        <v>397</v>
      </c>
      <c r="G584" t="s">
        <v>403</v>
      </c>
      <c r="H584" t="s">
        <v>405</v>
      </c>
      <c r="I584" t="s">
        <v>409</v>
      </c>
      <c r="J584" t="s">
        <v>416</v>
      </c>
      <c r="K584" t="s">
        <v>583</v>
      </c>
    </row>
    <row r="585" spans="1:11" x14ac:dyDescent="0.35">
      <c r="A585" t="s">
        <v>110</v>
      </c>
      <c r="B585" t="s">
        <v>249</v>
      </c>
      <c r="C585">
        <v>3200.13</v>
      </c>
      <c r="D585" t="s">
        <v>396</v>
      </c>
      <c r="E585">
        <v>2</v>
      </c>
      <c r="F585" t="s">
        <v>397</v>
      </c>
      <c r="G585" t="s">
        <v>403</v>
      </c>
      <c r="H585" t="s">
        <v>406</v>
      </c>
      <c r="I585" t="s">
        <v>410</v>
      </c>
      <c r="J585" t="s">
        <v>416</v>
      </c>
      <c r="K585" t="s">
        <v>582</v>
      </c>
    </row>
    <row r="586" spans="1:11" x14ac:dyDescent="0.35">
      <c r="A586" t="s">
        <v>138</v>
      </c>
      <c r="B586" t="s">
        <v>370</v>
      </c>
      <c r="C586">
        <v>967.07</v>
      </c>
      <c r="D586" t="s">
        <v>396</v>
      </c>
      <c r="E586">
        <v>5</v>
      </c>
      <c r="F586" t="s">
        <v>397</v>
      </c>
      <c r="G586" t="s">
        <v>402</v>
      </c>
      <c r="H586" t="s">
        <v>407</v>
      </c>
      <c r="I586" t="s">
        <v>409</v>
      </c>
      <c r="J586" t="s">
        <v>416</v>
      </c>
      <c r="K586" t="s">
        <v>582</v>
      </c>
    </row>
    <row r="587" spans="1:11" x14ac:dyDescent="0.35">
      <c r="A587" t="s">
        <v>78</v>
      </c>
      <c r="B587" t="s">
        <v>363</v>
      </c>
      <c r="C587">
        <v>3552.92</v>
      </c>
      <c r="D587" t="s">
        <v>392</v>
      </c>
      <c r="E587">
        <v>1</v>
      </c>
      <c r="F587" t="s">
        <v>398</v>
      </c>
      <c r="G587" t="s">
        <v>403</v>
      </c>
      <c r="H587" t="s">
        <v>404</v>
      </c>
      <c r="I587" t="s">
        <v>409</v>
      </c>
      <c r="J587" t="s">
        <v>531</v>
      </c>
      <c r="K587" t="s">
        <v>583</v>
      </c>
    </row>
    <row r="588" spans="1:11" x14ac:dyDescent="0.35">
      <c r="A588" t="s">
        <v>68</v>
      </c>
      <c r="B588" t="s">
        <v>338</v>
      </c>
      <c r="C588">
        <v>563.30999999999995</v>
      </c>
      <c r="D588" t="s">
        <v>396</v>
      </c>
      <c r="E588">
        <v>2</v>
      </c>
      <c r="F588" t="s">
        <v>401</v>
      </c>
      <c r="G588" t="s">
        <v>402</v>
      </c>
      <c r="H588" t="s">
        <v>406</v>
      </c>
      <c r="I588" t="s">
        <v>410</v>
      </c>
      <c r="J588" t="s">
        <v>531</v>
      </c>
      <c r="K588" t="s">
        <v>583</v>
      </c>
    </row>
    <row r="589" spans="1:11" x14ac:dyDescent="0.35">
      <c r="A589" t="s">
        <v>150</v>
      </c>
      <c r="B589" t="s">
        <v>363</v>
      </c>
      <c r="C589">
        <v>2969.87</v>
      </c>
      <c r="D589" t="s">
        <v>393</v>
      </c>
      <c r="E589">
        <v>1</v>
      </c>
      <c r="F589" t="s">
        <v>397</v>
      </c>
      <c r="G589" t="s">
        <v>402</v>
      </c>
      <c r="H589" t="s">
        <v>405</v>
      </c>
      <c r="I589" t="s">
        <v>410</v>
      </c>
      <c r="J589" t="s">
        <v>531</v>
      </c>
      <c r="K589" t="s">
        <v>582</v>
      </c>
    </row>
    <row r="590" spans="1:11" x14ac:dyDescent="0.35">
      <c r="A590" t="s">
        <v>168</v>
      </c>
      <c r="B590" t="s">
        <v>305</v>
      </c>
      <c r="C590">
        <v>4834.46</v>
      </c>
      <c r="D590" t="s">
        <v>392</v>
      </c>
      <c r="E590">
        <v>2</v>
      </c>
      <c r="F590" t="s">
        <v>400</v>
      </c>
      <c r="G590" t="s">
        <v>402</v>
      </c>
      <c r="H590" t="s">
        <v>404</v>
      </c>
      <c r="I590" t="s">
        <v>410</v>
      </c>
      <c r="J590" t="s">
        <v>531</v>
      </c>
      <c r="K590" t="s">
        <v>583</v>
      </c>
    </row>
    <row r="591" spans="1:11" x14ac:dyDescent="0.35">
      <c r="A591" t="s">
        <v>94</v>
      </c>
      <c r="B591" t="s">
        <v>306</v>
      </c>
      <c r="C591">
        <v>3405.73</v>
      </c>
      <c r="D591" t="s">
        <v>395</v>
      </c>
      <c r="E591">
        <v>5</v>
      </c>
      <c r="F591" t="s">
        <v>399</v>
      </c>
      <c r="G591" t="s">
        <v>403</v>
      </c>
      <c r="H591" t="s">
        <v>405</v>
      </c>
      <c r="I591" t="s">
        <v>410</v>
      </c>
      <c r="J591" t="s">
        <v>531</v>
      </c>
      <c r="K591" t="s">
        <v>583</v>
      </c>
    </row>
    <row r="592" spans="1:11" x14ac:dyDescent="0.35">
      <c r="A592" t="s">
        <v>129</v>
      </c>
      <c r="B592" t="s">
        <v>269</v>
      </c>
      <c r="C592">
        <v>1838.29</v>
      </c>
      <c r="D592" t="s">
        <v>394</v>
      </c>
      <c r="E592">
        <v>2</v>
      </c>
      <c r="F592" t="s">
        <v>401</v>
      </c>
      <c r="G592" t="s">
        <v>402</v>
      </c>
      <c r="H592" t="s">
        <v>404</v>
      </c>
      <c r="I592" t="s">
        <v>410</v>
      </c>
      <c r="J592" t="s">
        <v>531</v>
      </c>
      <c r="K592" t="s">
        <v>583</v>
      </c>
    </row>
    <row r="593" spans="1:11" x14ac:dyDescent="0.35">
      <c r="A593" t="s">
        <v>25</v>
      </c>
      <c r="B593" t="s">
        <v>334</v>
      </c>
      <c r="C593">
        <v>4766.5200000000004</v>
      </c>
      <c r="D593" t="s">
        <v>391</v>
      </c>
      <c r="E593">
        <v>1</v>
      </c>
      <c r="F593" t="s">
        <v>399</v>
      </c>
      <c r="G593" t="s">
        <v>402</v>
      </c>
      <c r="H593" t="s">
        <v>408</v>
      </c>
      <c r="I593" t="s">
        <v>409</v>
      </c>
      <c r="J593" t="s">
        <v>531</v>
      </c>
      <c r="K593" t="s">
        <v>583</v>
      </c>
    </row>
    <row r="594" spans="1:11" x14ac:dyDescent="0.35">
      <c r="A594" t="s">
        <v>30</v>
      </c>
      <c r="B594" t="s">
        <v>294</v>
      </c>
      <c r="C594">
        <v>3251.39</v>
      </c>
      <c r="D594" t="s">
        <v>396</v>
      </c>
      <c r="E594">
        <v>3</v>
      </c>
      <c r="F594" t="s">
        <v>397</v>
      </c>
      <c r="G594" t="s">
        <v>402</v>
      </c>
      <c r="H594" t="s">
        <v>408</v>
      </c>
      <c r="I594" t="s">
        <v>410</v>
      </c>
      <c r="J594" t="s">
        <v>531</v>
      </c>
      <c r="K594" t="s">
        <v>583</v>
      </c>
    </row>
    <row r="595" spans="1:11" x14ac:dyDescent="0.35">
      <c r="A595" t="s">
        <v>172</v>
      </c>
      <c r="B595" t="s">
        <v>365</v>
      </c>
      <c r="C595">
        <v>2548.42</v>
      </c>
      <c r="D595" t="s">
        <v>395</v>
      </c>
      <c r="E595">
        <v>5</v>
      </c>
      <c r="F595" t="s">
        <v>399</v>
      </c>
      <c r="G595" t="s">
        <v>402</v>
      </c>
      <c r="H595" t="s">
        <v>404</v>
      </c>
      <c r="I595" t="s">
        <v>410</v>
      </c>
      <c r="J595" t="s">
        <v>531</v>
      </c>
      <c r="K595" t="s">
        <v>583</v>
      </c>
    </row>
    <row r="596" spans="1:11" x14ac:dyDescent="0.35">
      <c r="A596" t="s">
        <v>28</v>
      </c>
      <c r="B596" t="s">
        <v>287</v>
      </c>
      <c r="C596">
        <v>247.89</v>
      </c>
      <c r="D596" t="s">
        <v>393</v>
      </c>
      <c r="E596">
        <v>5</v>
      </c>
      <c r="F596" t="s">
        <v>397</v>
      </c>
      <c r="G596" t="s">
        <v>403</v>
      </c>
      <c r="H596" t="s">
        <v>408</v>
      </c>
      <c r="I596" t="s">
        <v>409</v>
      </c>
      <c r="J596" t="s">
        <v>454</v>
      </c>
      <c r="K596" t="s">
        <v>583</v>
      </c>
    </row>
    <row r="597" spans="1:11" x14ac:dyDescent="0.35">
      <c r="A597" t="s">
        <v>142</v>
      </c>
      <c r="B597" t="s">
        <v>346</v>
      </c>
      <c r="C597">
        <v>3608.18</v>
      </c>
      <c r="D597" t="s">
        <v>391</v>
      </c>
      <c r="E597">
        <v>1</v>
      </c>
      <c r="F597" t="s">
        <v>398</v>
      </c>
      <c r="G597" t="s">
        <v>402</v>
      </c>
      <c r="H597" t="s">
        <v>408</v>
      </c>
      <c r="I597" t="s">
        <v>409</v>
      </c>
      <c r="J597" t="s">
        <v>454</v>
      </c>
      <c r="K597" t="s">
        <v>583</v>
      </c>
    </row>
    <row r="598" spans="1:11" x14ac:dyDescent="0.35">
      <c r="A598" t="s">
        <v>203</v>
      </c>
      <c r="B598" t="s">
        <v>267</v>
      </c>
      <c r="C598">
        <v>2115.0300000000002</v>
      </c>
      <c r="D598" t="s">
        <v>391</v>
      </c>
      <c r="E598">
        <v>3</v>
      </c>
      <c r="F598" t="s">
        <v>397</v>
      </c>
      <c r="G598" t="s">
        <v>403</v>
      </c>
      <c r="H598" t="s">
        <v>406</v>
      </c>
      <c r="I598" t="s">
        <v>410</v>
      </c>
      <c r="J598" t="s">
        <v>454</v>
      </c>
      <c r="K598" t="s">
        <v>583</v>
      </c>
    </row>
    <row r="599" spans="1:11" x14ac:dyDescent="0.35">
      <c r="A599" t="s">
        <v>186</v>
      </c>
      <c r="B599" t="s">
        <v>320</v>
      </c>
      <c r="C599">
        <v>4804.3999999999996</v>
      </c>
      <c r="D599" t="s">
        <v>396</v>
      </c>
      <c r="E599">
        <v>1</v>
      </c>
      <c r="F599" t="s">
        <v>399</v>
      </c>
      <c r="G599" t="s">
        <v>403</v>
      </c>
      <c r="H599" t="s">
        <v>405</v>
      </c>
      <c r="I599" t="s">
        <v>409</v>
      </c>
      <c r="J599" t="s">
        <v>454</v>
      </c>
      <c r="K599" t="s">
        <v>583</v>
      </c>
    </row>
    <row r="600" spans="1:11" x14ac:dyDescent="0.35">
      <c r="A600" t="s">
        <v>14</v>
      </c>
      <c r="B600" t="s">
        <v>359</v>
      </c>
      <c r="C600">
        <v>1342.71</v>
      </c>
      <c r="D600" t="s">
        <v>392</v>
      </c>
      <c r="E600">
        <v>3</v>
      </c>
      <c r="F600" t="s">
        <v>400</v>
      </c>
      <c r="G600" t="s">
        <v>403</v>
      </c>
      <c r="H600" t="s">
        <v>407</v>
      </c>
      <c r="I600" t="s">
        <v>409</v>
      </c>
      <c r="J600" t="s">
        <v>454</v>
      </c>
      <c r="K600" t="s">
        <v>583</v>
      </c>
    </row>
    <row r="601" spans="1:11" x14ac:dyDescent="0.35">
      <c r="A601" t="s">
        <v>143</v>
      </c>
      <c r="B601" t="s">
        <v>334</v>
      </c>
      <c r="C601">
        <v>1883.17</v>
      </c>
      <c r="D601" t="s">
        <v>393</v>
      </c>
      <c r="E601">
        <v>5</v>
      </c>
      <c r="F601" t="s">
        <v>397</v>
      </c>
      <c r="G601" t="s">
        <v>402</v>
      </c>
      <c r="H601" t="s">
        <v>407</v>
      </c>
      <c r="I601" t="s">
        <v>409</v>
      </c>
      <c r="J601" t="s">
        <v>487</v>
      </c>
      <c r="K601" t="s">
        <v>583</v>
      </c>
    </row>
    <row r="602" spans="1:11" x14ac:dyDescent="0.35">
      <c r="A602" t="s">
        <v>162</v>
      </c>
      <c r="B602" t="s">
        <v>329</v>
      </c>
      <c r="C602">
        <v>3973.13</v>
      </c>
      <c r="D602" t="s">
        <v>395</v>
      </c>
      <c r="E602">
        <v>1</v>
      </c>
      <c r="F602" t="s">
        <v>401</v>
      </c>
      <c r="G602" t="s">
        <v>403</v>
      </c>
      <c r="H602" t="s">
        <v>408</v>
      </c>
      <c r="I602" t="s">
        <v>410</v>
      </c>
      <c r="J602" t="s">
        <v>487</v>
      </c>
      <c r="K602" t="s">
        <v>582</v>
      </c>
    </row>
    <row r="603" spans="1:11" x14ac:dyDescent="0.35">
      <c r="A603" t="s">
        <v>109</v>
      </c>
      <c r="B603" t="s">
        <v>290</v>
      </c>
      <c r="C603">
        <v>965.75</v>
      </c>
      <c r="D603" t="s">
        <v>391</v>
      </c>
      <c r="E603">
        <v>1</v>
      </c>
      <c r="F603" t="s">
        <v>398</v>
      </c>
      <c r="G603" t="s">
        <v>403</v>
      </c>
      <c r="H603" t="s">
        <v>405</v>
      </c>
      <c r="I603" t="s">
        <v>409</v>
      </c>
      <c r="J603" t="s">
        <v>487</v>
      </c>
      <c r="K603" t="s">
        <v>582</v>
      </c>
    </row>
    <row r="604" spans="1:11" x14ac:dyDescent="0.35">
      <c r="A604" t="s">
        <v>23</v>
      </c>
      <c r="B604" t="s">
        <v>221</v>
      </c>
      <c r="C604">
        <v>3054.19</v>
      </c>
      <c r="D604" t="s">
        <v>392</v>
      </c>
      <c r="E604">
        <v>1</v>
      </c>
      <c r="F604" t="s">
        <v>400</v>
      </c>
      <c r="G604" t="s">
        <v>402</v>
      </c>
      <c r="H604" t="s">
        <v>405</v>
      </c>
      <c r="I604" t="s">
        <v>409</v>
      </c>
      <c r="J604" t="s">
        <v>420</v>
      </c>
      <c r="K604" t="s">
        <v>582</v>
      </c>
    </row>
    <row r="605" spans="1:11" x14ac:dyDescent="0.35">
      <c r="A605" t="s">
        <v>72</v>
      </c>
      <c r="B605" t="s">
        <v>215</v>
      </c>
      <c r="C605">
        <v>4377.72</v>
      </c>
      <c r="D605" t="s">
        <v>392</v>
      </c>
      <c r="E605">
        <v>2</v>
      </c>
      <c r="F605" t="s">
        <v>398</v>
      </c>
      <c r="G605" t="s">
        <v>403</v>
      </c>
      <c r="H605" t="s">
        <v>405</v>
      </c>
      <c r="I605" t="s">
        <v>409</v>
      </c>
      <c r="J605" t="s">
        <v>420</v>
      </c>
      <c r="K605" t="s">
        <v>583</v>
      </c>
    </row>
    <row r="606" spans="1:11" x14ac:dyDescent="0.35">
      <c r="A606" t="s">
        <v>18</v>
      </c>
      <c r="B606" t="s">
        <v>334</v>
      </c>
      <c r="C606">
        <v>147.1</v>
      </c>
      <c r="D606" t="s">
        <v>394</v>
      </c>
      <c r="E606">
        <v>5</v>
      </c>
      <c r="F606" t="s">
        <v>401</v>
      </c>
      <c r="G606" t="s">
        <v>402</v>
      </c>
      <c r="H606" t="s">
        <v>408</v>
      </c>
      <c r="I606" t="s">
        <v>410</v>
      </c>
      <c r="J606" t="s">
        <v>420</v>
      </c>
      <c r="K606" t="s">
        <v>582</v>
      </c>
    </row>
    <row r="607" spans="1:11" x14ac:dyDescent="0.35">
      <c r="A607" t="s">
        <v>108</v>
      </c>
      <c r="B607" t="s">
        <v>302</v>
      </c>
      <c r="C607">
        <v>2741.76</v>
      </c>
      <c r="D607" t="s">
        <v>394</v>
      </c>
      <c r="E607">
        <v>3</v>
      </c>
      <c r="F607" t="s">
        <v>398</v>
      </c>
      <c r="G607" t="s">
        <v>402</v>
      </c>
      <c r="H607" t="s">
        <v>407</v>
      </c>
      <c r="I607" t="s">
        <v>409</v>
      </c>
      <c r="J607" t="s">
        <v>464</v>
      </c>
      <c r="K607" t="s">
        <v>582</v>
      </c>
    </row>
    <row r="608" spans="1:11" x14ac:dyDescent="0.35">
      <c r="A608" t="s">
        <v>104</v>
      </c>
      <c r="B608" t="s">
        <v>338</v>
      </c>
      <c r="C608">
        <v>4889.88</v>
      </c>
      <c r="D608" t="s">
        <v>392</v>
      </c>
      <c r="E608">
        <v>5</v>
      </c>
      <c r="F608" t="s">
        <v>398</v>
      </c>
      <c r="G608" t="s">
        <v>402</v>
      </c>
      <c r="H608" t="s">
        <v>407</v>
      </c>
      <c r="I608" t="s">
        <v>409</v>
      </c>
      <c r="J608" t="s">
        <v>464</v>
      </c>
      <c r="K608" t="s">
        <v>583</v>
      </c>
    </row>
    <row r="609" spans="1:11" x14ac:dyDescent="0.35">
      <c r="A609" t="s">
        <v>162</v>
      </c>
      <c r="B609" t="s">
        <v>317</v>
      </c>
      <c r="C609">
        <v>134.12</v>
      </c>
      <c r="D609" t="s">
        <v>395</v>
      </c>
      <c r="E609">
        <v>2</v>
      </c>
      <c r="F609" t="s">
        <v>400</v>
      </c>
      <c r="G609" t="s">
        <v>402</v>
      </c>
      <c r="H609" t="s">
        <v>407</v>
      </c>
      <c r="I609" t="s">
        <v>410</v>
      </c>
      <c r="J609" t="s">
        <v>464</v>
      </c>
      <c r="K609" t="s">
        <v>583</v>
      </c>
    </row>
    <row r="610" spans="1:11" x14ac:dyDescent="0.35">
      <c r="A610" t="s">
        <v>47</v>
      </c>
      <c r="B610" t="s">
        <v>256</v>
      </c>
      <c r="C610">
        <v>4362.1499999999996</v>
      </c>
      <c r="D610" t="s">
        <v>395</v>
      </c>
      <c r="E610">
        <v>5</v>
      </c>
      <c r="F610" t="s">
        <v>400</v>
      </c>
      <c r="G610" t="s">
        <v>403</v>
      </c>
      <c r="H610" t="s">
        <v>408</v>
      </c>
      <c r="I610" t="s">
        <v>409</v>
      </c>
      <c r="J610" t="s">
        <v>464</v>
      </c>
      <c r="K610" t="s">
        <v>582</v>
      </c>
    </row>
    <row r="611" spans="1:11" x14ac:dyDescent="0.35">
      <c r="A611" t="s">
        <v>140</v>
      </c>
      <c r="B611" t="s">
        <v>336</v>
      </c>
      <c r="C611">
        <v>252.51</v>
      </c>
      <c r="D611" t="s">
        <v>396</v>
      </c>
      <c r="E611">
        <v>3</v>
      </c>
      <c r="F611" t="s">
        <v>397</v>
      </c>
      <c r="G611" t="s">
        <v>402</v>
      </c>
      <c r="H611" t="s">
        <v>407</v>
      </c>
      <c r="I611" t="s">
        <v>409</v>
      </c>
      <c r="J611" t="s">
        <v>485</v>
      </c>
      <c r="K611" t="s">
        <v>583</v>
      </c>
    </row>
    <row r="612" spans="1:11" x14ac:dyDescent="0.35">
      <c r="A612" t="s">
        <v>76</v>
      </c>
      <c r="B612" t="s">
        <v>322</v>
      </c>
      <c r="C612">
        <v>1082.92</v>
      </c>
      <c r="D612" t="s">
        <v>396</v>
      </c>
      <c r="E612">
        <v>2</v>
      </c>
      <c r="F612" t="s">
        <v>401</v>
      </c>
      <c r="G612" t="s">
        <v>402</v>
      </c>
      <c r="H612" t="s">
        <v>405</v>
      </c>
      <c r="I612" t="s">
        <v>410</v>
      </c>
      <c r="J612" t="s">
        <v>485</v>
      </c>
      <c r="K612" t="s">
        <v>583</v>
      </c>
    </row>
    <row r="613" spans="1:11" x14ac:dyDescent="0.35">
      <c r="A613" t="s">
        <v>155</v>
      </c>
      <c r="B613" t="s">
        <v>260</v>
      </c>
      <c r="C613">
        <v>4021.66</v>
      </c>
      <c r="D613" t="s">
        <v>396</v>
      </c>
      <c r="E613">
        <v>5</v>
      </c>
      <c r="F613" t="s">
        <v>401</v>
      </c>
      <c r="G613" t="s">
        <v>402</v>
      </c>
      <c r="H613" t="s">
        <v>406</v>
      </c>
      <c r="I613" t="s">
        <v>409</v>
      </c>
      <c r="J613" t="s">
        <v>485</v>
      </c>
      <c r="K613" t="s">
        <v>582</v>
      </c>
    </row>
    <row r="614" spans="1:11" x14ac:dyDescent="0.35">
      <c r="A614" t="s">
        <v>15</v>
      </c>
      <c r="B614" t="s">
        <v>315</v>
      </c>
      <c r="C614">
        <v>2156.6999999999998</v>
      </c>
      <c r="D614" t="s">
        <v>395</v>
      </c>
      <c r="E614">
        <v>2</v>
      </c>
      <c r="F614" t="s">
        <v>397</v>
      </c>
      <c r="G614" t="s">
        <v>403</v>
      </c>
      <c r="H614" t="s">
        <v>406</v>
      </c>
      <c r="I614" t="s">
        <v>409</v>
      </c>
      <c r="J614" t="s">
        <v>485</v>
      </c>
      <c r="K614" t="s">
        <v>582</v>
      </c>
    </row>
    <row r="615" spans="1:11" x14ac:dyDescent="0.35">
      <c r="A615" t="s">
        <v>118</v>
      </c>
      <c r="B615" t="s">
        <v>256</v>
      </c>
      <c r="C615">
        <v>1240.8699999999999</v>
      </c>
      <c r="D615" t="s">
        <v>392</v>
      </c>
      <c r="E615">
        <v>5</v>
      </c>
      <c r="F615" t="s">
        <v>399</v>
      </c>
      <c r="G615" t="s">
        <v>403</v>
      </c>
      <c r="H615" t="s">
        <v>406</v>
      </c>
      <c r="I615" t="s">
        <v>409</v>
      </c>
      <c r="J615" t="s">
        <v>485</v>
      </c>
      <c r="K615" t="s">
        <v>582</v>
      </c>
    </row>
    <row r="616" spans="1:11" x14ac:dyDescent="0.35">
      <c r="A616" t="s">
        <v>175</v>
      </c>
      <c r="B616" t="s">
        <v>329</v>
      </c>
      <c r="C616">
        <v>3977.86</v>
      </c>
      <c r="D616" t="s">
        <v>393</v>
      </c>
      <c r="E616">
        <v>4</v>
      </c>
      <c r="F616" t="s">
        <v>399</v>
      </c>
      <c r="G616" t="s">
        <v>403</v>
      </c>
      <c r="H616" t="s">
        <v>405</v>
      </c>
      <c r="I616" t="s">
        <v>409</v>
      </c>
      <c r="J616" t="s">
        <v>485</v>
      </c>
      <c r="K616" t="s">
        <v>583</v>
      </c>
    </row>
    <row r="617" spans="1:11" x14ac:dyDescent="0.35">
      <c r="A617" t="s">
        <v>209</v>
      </c>
      <c r="B617" t="s">
        <v>296</v>
      </c>
      <c r="C617">
        <v>4011.72</v>
      </c>
      <c r="D617" t="s">
        <v>396</v>
      </c>
      <c r="E617">
        <v>1</v>
      </c>
      <c r="F617" t="s">
        <v>401</v>
      </c>
      <c r="G617" t="s">
        <v>403</v>
      </c>
      <c r="H617" t="s">
        <v>406</v>
      </c>
      <c r="I617" t="s">
        <v>410</v>
      </c>
      <c r="J617" t="s">
        <v>485</v>
      </c>
      <c r="K617" t="s">
        <v>583</v>
      </c>
    </row>
    <row r="618" spans="1:11" x14ac:dyDescent="0.35">
      <c r="A618" t="s">
        <v>130</v>
      </c>
      <c r="B618" t="s">
        <v>256</v>
      </c>
      <c r="C618">
        <v>2246.5500000000002</v>
      </c>
      <c r="D618" t="s">
        <v>396</v>
      </c>
      <c r="E618">
        <v>2</v>
      </c>
      <c r="F618" t="s">
        <v>397</v>
      </c>
      <c r="G618" t="s">
        <v>402</v>
      </c>
      <c r="H618" t="s">
        <v>407</v>
      </c>
      <c r="I618" t="s">
        <v>409</v>
      </c>
      <c r="J618" t="s">
        <v>479</v>
      </c>
      <c r="K618" t="s">
        <v>583</v>
      </c>
    </row>
    <row r="619" spans="1:11" x14ac:dyDescent="0.35">
      <c r="A619" t="s">
        <v>150</v>
      </c>
      <c r="B619" t="s">
        <v>343</v>
      </c>
      <c r="C619">
        <v>4924.74</v>
      </c>
      <c r="D619" t="s">
        <v>391</v>
      </c>
      <c r="E619">
        <v>1</v>
      </c>
      <c r="F619" t="s">
        <v>398</v>
      </c>
      <c r="G619" t="s">
        <v>403</v>
      </c>
      <c r="H619" t="s">
        <v>404</v>
      </c>
      <c r="I619" t="s">
        <v>409</v>
      </c>
      <c r="J619" t="s">
        <v>479</v>
      </c>
      <c r="K619" t="s">
        <v>582</v>
      </c>
    </row>
    <row r="620" spans="1:11" x14ac:dyDescent="0.35">
      <c r="A620" t="s">
        <v>35</v>
      </c>
      <c r="B620" t="s">
        <v>284</v>
      </c>
      <c r="C620">
        <v>1776.88</v>
      </c>
      <c r="D620" t="s">
        <v>393</v>
      </c>
      <c r="E620">
        <v>4</v>
      </c>
      <c r="F620" t="s">
        <v>398</v>
      </c>
      <c r="G620" t="s">
        <v>402</v>
      </c>
      <c r="H620" t="s">
        <v>408</v>
      </c>
      <c r="I620" t="s">
        <v>410</v>
      </c>
      <c r="J620" t="s">
        <v>479</v>
      </c>
      <c r="K620" t="s">
        <v>583</v>
      </c>
    </row>
    <row r="621" spans="1:11" x14ac:dyDescent="0.35">
      <c r="A621" t="s">
        <v>103</v>
      </c>
      <c r="B621" t="s">
        <v>384</v>
      </c>
      <c r="C621">
        <v>1213.95</v>
      </c>
      <c r="D621" t="s">
        <v>393</v>
      </c>
      <c r="E621">
        <v>5</v>
      </c>
      <c r="F621" t="s">
        <v>401</v>
      </c>
      <c r="G621" t="s">
        <v>403</v>
      </c>
      <c r="H621" t="s">
        <v>404</v>
      </c>
      <c r="I621" t="s">
        <v>410</v>
      </c>
      <c r="J621" t="s">
        <v>479</v>
      </c>
      <c r="K621" t="s">
        <v>583</v>
      </c>
    </row>
    <row r="622" spans="1:11" x14ac:dyDescent="0.35">
      <c r="A622" t="s">
        <v>150</v>
      </c>
      <c r="B622" t="s">
        <v>381</v>
      </c>
      <c r="C622">
        <v>2646.34</v>
      </c>
      <c r="D622" t="s">
        <v>394</v>
      </c>
      <c r="E622">
        <v>5</v>
      </c>
      <c r="F622" t="s">
        <v>399</v>
      </c>
      <c r="G622" t="s">
        <v>402</v>
      </c>
      <c r="H622" t="s">
        <v>405</v>
      </c>
      <c r="I622" t="s">
        <v>410</v>
      </c>
      <c r="J622" t="s">
        <v>479</v>
      </c>
      <c r="K622" t="s">
        <v>583</v>
      </c>
    </row>
    <row r="623" spans="1:11" x14ac:dyDescent="0.35">
      <c r="A623" t="s">
        <v>84</v>
      </c>
      <c r="B623" t="s">
        <v>280</v>
      </c>
      <c r="C623">
        <v>1014.4</v>
      </c>
      <c r="D623" t="s">
        <v>391</v>
      </c>
      <c r="E623">
        <v>3</v>
      </c>
      <c r="F623" t="s">
        <v>397</v>
      </c>
      <c r="G623" t="s">
        <v>403</v>
      </c>
      <c r="H623" t="s">
        <v>407</v>
      </c>
      <c r="I623" t="s">
        <v>409</v>
      </c>
      <c r="J623" t="s">
        <v>447</v>
      </c>
      <c r="K623" t="s">
        <v>582</v>
      </c>
    </row>
    <row r="624" spans="1:11" x14ac:dyDescent="0.35">
      <c r="A624" t="s">
        <v>30</v>
      </c>
      <c r="B624" t="s">
        <v>332</v>
      </c>
      <c r="C624">
        <v>4084.36</v>
      </c>
      <c r="D624" t="s">
        <v>391</v>
      </c>
      <c r="E624">
        <v>2</v>
      </c>
      <c r="F624" t="s">
        <v>398</v>
      </c>
      <c r="G624" t="s">
        <v>402</v>
      </c>
      <c r="H624" t="s">
        <v>404</v>
      </c>
      <c r="I624" t="s">
        <v>409</v>
      </c>
      <c r="J624" t="s">
        <v>447</v>
      </c>
      <c r="K624" t="s">
        <v>583</v>
      </c>
    </row>
    <row r="625" spans="1:11" x14ac:dyDescent="0.35">
      <c r="A625" t="s">
        <v>97</v>
      </c>
      <c r="B625" t="s">
        <v>246</v>
      </c>
      <c r="C625">
        <v>1329.06</v>
      </c>
      <c r="D625" t="s">
        <v>395</v>
      </c>
      <c r="E625">
        <v>2</v>
      </c>
      <c r="F625" t="s">
        <v>400</v>
      </c>
      <c r="G625" t="s">
        <v>403</v>
      </c>
      <c r="H625" t="s">
        <v>405</v>
      </c>
      <c r="I625" t="s">
        <v>410</v>
      </c>
      <c r="J625" t="s">
        <v>447</v>
      </c>
      <c r="K625" t="s">
        <v>582</v>
      </c>
    </row>
    <row r="626" spans="1:11" x14ac:dyDescent="0.35">
      <c r="A626" t="s">
        <v>146</v>
      </c>
      <c r="B626" t="s">
        <v>349</v>
      </c>
      <c r="C626">
        <v>1836.18</v>
      </c>
      <c r="D626" t="s">
        <v>392</v>
      </c>
      <c r="E626">
        <v>3</v>
      </c>
      <c r="F626" t="s">
        <v>397</v>
      </c>
      <c r="G626" t="s">
        <v>403</v>
      </c>
      <c r="H626" t="s">
        <v>406</v>
      </c>
      <c r="I626" t="s">
        <v>409</v>
      </c>
      <c r="J626" t="s">
        <v>447</v>
      </c>
      <c r="K626" t="s">
        <v>582</v>
      </c>
    </row>
    <row r="627" spans="1:11" x14ac:dyDescent="0.35">
      <c r="A627" t="s">
        <v>161</v>
      </c>
      <c r="B627" t="s">
        <v>288</v>
      </c>
      <c r="C627">
        <v>2371.5500000000002</v>
      </c>
      <c r="D627" t="s">
        <v>393</v>
      </c>
      <c r="E627">
        <v>5</v>
      </c>
      <c r="F627" t="s">
        <v>399</v>
      </c>
      <c r="G627" t="s">
        <v>403</v>
      </c>
      <c r="H627" t="s">
        <v>406</v>
      </c>
      <c r="I627" t="s">
        <v>409</v>
      </c>
      <c r="J627" t="s">
        <v>447</v>
      </c>
      <c r="K627" t="s">
        <v>582</v>
      </c>
    </row>
    <row r="628" spans="1:11" x14ac:dyDescent="0.35">
      <c r="A628" t="s">
        <v>179</v>
      </c>
      <c r="B628" t="s">
        <v>272</v>
      </c>
      <c r="C628">
        <v>1587.38</v>
      </c>
      <c r="D628" t="s">
        <v>396</v>
      </c>
      <c r="E628">
        <v>3</v>
      </c>
      <c r="F628" t="s">
        <v>399</v>
      </c>
      <c r="G628" t="s">
        <v>402</v>
      </c>
      <c r="H628" t="s">
        <v>405</v>
      </c>
      <c r="I628" t="s">
        <v>409</v>
      </c>
      <c r="J628" t="s">
        <v>550</v>
      </c>
      <c r="K628" t="s">
        <v>582</v>
      </c>
    </row>
    <row r="629" spans="1:11" x14ac:dyDescent="0.35">
      <c r="A629" t="s">
        <v>70</v>
      </c>
      <c r="B629" t="s">
        <v>267</v>
      </c>
      <c r="C629">
        <v>1959.24</v>
      </c>
      <c r="D629" t="s">
        <v>394</v>
      </c>
      <c r="E629">
        <v>3</v>
      </c>
      <c r="F629" t="s">
        <v>399</v>
      </c>
      <c r="G629" t="s">
        <v>402</v>
      </c>
      <c r="H629" t="s">
        <v>408</v>
      </c>
      <c r="I629" t="s">
        <v>410</v>
      </c>
      <c r="J629" t="s">
        <v>440</v>
      </c>
      <c r="K629" t="s">
        <v>583</v>
      </c>
    </row>
    <row r="630" spans="1:11" x14ac:dyDescent="0.35">
      <c r="A630" t="s">
        <v>153</v>
      </c>
      <c r="B630" t="s">
        <v>344</v>
      </c>
      <c r="C630">
        <v>2223.59</v>
      </c>
      <c r="D630" t="s">
        <v>392</v>
      </c>
      <c r="E630">
        <v>5</v>
      </c>
      <c r="F630" t="s">
        <v>397</v>
      </c>
      <c r="G630" t="s">
        <v>403</v>
      </c>
      <c r="H630" t="s">
        <v>408</v>
      </c>
      <c r="I630" t="s">
        <v>410</v>
      </c>
      <c r="J630" t="s">
        <v>440</v>
      </c>
      <c r="K630" t="s">
        <v>582</v>
      </c>
    </row>
    <row r="631" spans="1:11" x14ac:dyDescent="0.35">
      <c r="A631" t="s">
        <v>135</v>
      </c>
      <c r="B631" t="s">
        <v>365</v>
      </c>
      <c r="C631">
        <v>2180.9499999999998</v>
      </c>
      <c r="D631" t="s">
        <v>396</v>
      </c>
      <c r="E631">
        <v>1</v>
      </c>
      <c r="F631" t="s">
        <v>397</v>
      </c>
      <c r="G631" t="s">
        <v>403</v>
      </c>
      <c r="H631" t="s">
        <v>407</v>
      </c>
      <c r="I631" t="s">
        <v>410</v>
      </c>
      <c r="J631" t="s">
        <v>440</v>
      </c>
      <c r="K631" t="s">
        <v>582</v>
      </c>
    </row>
    <row r="632" spans="1:11" x14ac:dyDescent="0.35">
      <c r="A632" t="s">
        <v>35</v>
      </c>
      <c r="B632" t="s">
        <v>294</v>
      </c>
      <c r="C632">
        <v>3249.94</v>
      </c>
      <c r="D632" t="s">
        <v>393</v>
      </c>
      <c r="E632">
        <v>4</v>
      </c>
      <c r="F632" t="s">
        <v>401</v>
      </c>
      <c r="G632" t="s">
        <v>403</v>
      </c>
      <c r="H632" t="s">
        <v>408</v>
      </c>
      <c r="I632" t="s">
        <v>409</v>
      </c>
      <c r="J632" t="s">
        <v>440</v>
      </c>
      <c r="K632" t="s">
        <v>582</v>
      </c>
    </row>
    <row r="633" spans="1:11" x14ac:dyDescent="0.35">
      <c r="A633" t="s">
        <v>45</v>
      </c>
      <c r="B633" t="s">
        <v>242</v>
      </c>
      <c r="C633">
        <v>2341.7600000000002</v>
      </c>
      <c r="D633" t="s">
        <v>395</v>
      </c>
      <c r="E633">
        <v>5</v>
      </c>
      <c r="F633" t="s">
        <v>401</v>
      </c>
      <c r="G633" t="s">
        <v>402</v>
      </c>
      <c r="H633" t="s">
        <v>404</v>
      </c>
      <c r="I633" t="s">
        <v>409</v>
      </c>
      <c r="J633" t="s">
        <v>440</v>
      </c>
      <c r="K633" t="s">
        <v>583</v>
      </c>
    </row>
    <row r="634" spans="1:11" x14ac:dyDescent="0.35">
      <c r="A634" t="s">
        <v>198</v>
      </c>
      <c r="B634" t="s">
        <v>315</v>
      </c>
      <c r="C634">
        <v>4298.22</v>
      </c>
      <c r="D634" t="s">
        <v>394</v>
      </c>
      <c r="E634">
        <v>4</v>
      </c>
      <c r="F634" t="s">
        <v>397</v>
      </c>
      <c r="G634" t="s">
        <v>403</v>
      </c>
      <c r="H634" t="s">
        <v>406</v>
      </c>
      <c r="I634" t="s">
        <v>409</v>
      </c>
      <c r="J634" t="s">
        <v>440</v>
      </c>
      <c r="K634" t="s">
        <v>582</v>
      </c>
    </row>
    <row r="635" spans="1:11" x14ac:dyDescent="0.35">
      <c r="A635" t="s">
        <v>157</v>
      </c>
      <c r="B635" t="s">
        <v>269</v>
      </c>
      <c r="C635">
        <v>4951.32</v>
      </c>
      <c r="D635" t="s">
        <v>396</v>
      </c>
      <c r="E635">
        <v>4</v>
      </c>
      <c r="F635" t="s">
        <v>400</v>
      </c>
      <c r="G635" t="s">
        <v>402</v>
      </c>
      <c r="H635" t="s">
        <v>407</v>
      </c>
      <c r="I635" t="s">
        <v>410</v>
      </c>
      <c r="J635" t="s">
        <v>500</v>
      </c>
      <c r="K635" t="s">
        <v>583</v>
      </c>
    </row>
    <row r="636" spans="1:11" x14ac:dyDescent="0.35">
      <c r="A636" t="s">
        <v>169</v>
      </c>
      <c r="B636" t="s">
        <v>217</v>
      </c>
      <c r="C636">
        <v>111.26</v>
      </c>
      <c r="D636" t="s">
        <v>396</v>
      </c>
      <c r="E636">
        <v>3</v>
      </c>
      <c r="F636" t="s">
        <v>398</v>
      </c>
      <c r="G636" t="s">
        <v>403</v>
      </c>
      <c r="H636" t="s">
        <v>405</v>
      </c>
      <c r="I636" t="s">
        <v>409</v>
      </c>
      <c r="J636" t="s">
        <v>500</v>
      </c>
      <c r="K636" t="s">
        <v>582</v>
      </c>
    </row>
    <row r="637" spans="1:11" x14ac:dyDescent="0.35">
      <c r="A637" t="s">
        <v>72</v>
      </c>
      <c r="B637" t="s">
        <v>382</v>
      </c>
      <c r="C637">
        <v>1594.12</v>
      </c>
      <c r="D637" t="s">
        <v>395</v>
      </c>
      <c r="E637">
        <v>2</v>
      </c>
      <c r="F637" t="s">
        <v>399</v>
      </c>
      <c r="G637" t="s">
        <v>402</v>
      </c>
      <c r="H637" t="s">
        <v>408</v>
      </c>
      <c r="I637" t="s">
        <v>409</v>
      </c>
      <c r="J637" t="s">
        <v>581</v>
      </c>
      <c r="K637" t="s">
        <v>582</v>
      </c>
    </row>
    <row r="638" spans="1:11" x14ac:dyDescent="0.35">
      <c r="A638" t="s">
        <v>29</v>
      </c>
      <c r="B638" t="s">
        <v>227</v>
      </c>
      <c r="C638">
        <v>1646.61</v>
      </c>
      <c r="D638" t="s">
        <v>394</v>
      </c>
      <c r="E638">
        <v>1</v>
      </c>
      <c r="F638" t="s">
        <v>400</v>
      </c>
      <c r="G638" t="s">
        <v>402</v>
      </c>
      <c r="H638" t="s">
        <v>404</v>
      </c>
      <c r="I638" t="s">
        <v>410</v>
      </c>
      <c r="J638" t="s">
        <v>424</v>
      </c>
      <c r="K638" t="s">
        <v>583</v>
      </c>
    </row>
    <row r="639" spans="1:11" x14ac:dyDescent="0.35">
      <c r="A639" t="s">
        <v>23</v>
      </c>
      <c r="B639" t="s">
        <v>211</v>
      </c>
      <c r="C639">
        <v>2983.41</v>
      </c>
      <c r="D639" t="s">
        <v>393</v>
      </c>
      <c r="E639">
        <v>4</v>
      </c>
      <c r="F639" t="s">
        <v>397</v>
      </c>
      <c r="G639" t="s">
        <v>403</v>
      </c>
      <c r="H639" t="s">
        <v>405</v>
      </c>
      <c r="I639" t="s">
        <v>409</v>
      </c>
      <c r="J639" t="s">
        <v>424</v>
      </c>
      <c r="K639" t="s">
        <v>583</v>
      </c>
    </row>
    <row r="640" spans="1:11" x14ac:dyDescent="0.35">
      <c r="A640" t="s">
        <v>96</v>
      </c>
      <c r="B640" t="s">
        <v>286</v>
      </c>
      <c r="C640">
        <v>2839.99</v>
      </c>
      <c r="D640" t="s">
        <v>395</v>
      </c>
      <c r="E640">
        <v>2</v>
      </c>
      <c r="F640" t="s">
        <v>397</v>
      </c>
      <c r="G640" t="s">
        <v>403</v>
      </c>
      <c r="H640" t="s">
        <v>407</v>
      </c>
      <c r="I640" t="s">
        <v>409</v>
      </c>
      <c r="J640" t="s">
        <v>424</v>
      </c>
      <c r="K640" t="s">
        <v>583</v>
      </c>
    </row>
    <row r="641" spans="1:11" x14ac:dyDescent="0.35">
      <c r="A641" t="s">
        <v>80</v>
      </c>
      <c r="B641" t="s">
        <v>378</v>
      </c>
      <c r="C641">
        <v>935.31</v>
      </c>
      <c r="D641" t="s">
        <v>392</v>
      </c>
      <c r="E641">
        <v>3</v>
      </c>
      <c r="F641" t="s">
        <v>398</v>
      </c>
      <c r="G641" t="s">
        <v>403</v>
      </c>
      <c r="H641" t="s">
        <v>408</v>
      </c>
      <c r="I641" t="s">
        <v>409</v>
      </c>
      <c r="J641" t="s">
        <v>424</v>
      </c>
      <c r="K641" t="s">
        <v>583</v>
      </c>
    </row>
    <row r="642" spans="1:11" x14ac:dyDescent="0.35">
      <c r="A642" t="s">
        <v>125</v>
      </c>
      <c r="B642" t="s">
        <v>334</v>
      </c>
      <c r="C642">
        <v>223.41</v>
      </c>
      <c r="D642" t="s">
        <v>396</v>
      </c>
      <c r="E642">
        <v>2</v>
      </c>
      <c r="F642" t="s">
        <v>401</v>
      </c>
      <c r="G642" t="s">
        <v>403</v>
      </c>
      <c r="H642" t="s">
        <v>405</v>
      </c>
      <c r="I642" t="s">
        <v>410</v>
      </c>
      <c r="J642" t="s">
        <v>424</v>
      </c>
      <c r="K642" t="s">
        <v>582</v>
      </c>
    </row>
    <row r="643" spans="1:11" x14ac:dyDescent="0.35">
      <c r="A643" t="s">
        <v>180</v>
      </c>
      <c r="B643" t="s">
        <v>347</v>
      </c>
      <c r="C643">
        <v>4527.5</v>
      </c>
      <c r="D643" t="s">
        <v>391</v>
      </c>
      <c r="E643">
        <v>4</v>
      </c>
      <c r="F643" t="s">
        <v>400</v>
      </c>
      <c r="G643" t="s">
        <v>402</v>
      </c>
      <c r="H643" t="s">
        <v>405</v>
      </c>
      <c r="I643" t="s">
        <v>409</v>
      </c>
      <c r="J643" t="s">
        <v>424</v>
      </c>
      <c r="K643" t="s">
        <v>583</v>
      </c>
    </row>
    <row r="644" spans="1:11" x14ac:dyDescent="0.35">
      <c r="A644" t="s">
        <v>193</v>
      </c>
      <c r="B644" t="s">
        <v>370</v>
      </c>
      <c r="C644">
        <v>1384.6</v>
      </c>
      <c r="D644" t="s">
        <v>391</v>
      </c>
      <c r="E644">
        <v>4</v>
      </c>
      <c r="F644" t="s">
        <v>401</v>
      </c>
      <c r="G644" t="s">
        <v>402</v>
      </c>
      <c r="H644" t="s">
        <v>408</v>
      </c>
      <c r="I644" t="s">
        <v>409</v>
      </c>
      <c r="J644" t="s">
        <v>424</v>
      </c>
      <c r="K644" t="s">
        <v>582</v>
      </c>
    </row>
    <row r="645" spans="1:11" x14ac:dyDescent="0.35">
      <c r="A645" t="s">
        <v>31</v>
      </c>
      <c r="B645" t="s">
        <v>212</v>
      </c>
      <c r="C645">
        <v>1223.47</v>
      </c>
      <c r="D645" t="s">
        <v>394</v>
      </c>
      <c r="E645">
        <v>5</v>
      </c>
      <c r="F645" t="s">
        <v>397</v>
      </c>
      <c r="G645" t="s">
        <v>402</v>
      </c>
      <c r="H645" t="s">
        <v>405</v>
      </c>
      <c r="I645" t="s">
        <v>410</v>
      </c>
      <c r="J645" t="s">
        <v>424</v>
      </c>
      <c r="K645" t="s">
        <v>583</v>
      </c>
    </row>
    <row r="646" spans="1:11" x14ac:dyDescent="0.35">
      <c r="A646" t="s">
        <v>18</v>
      </c>
      <c r="B646" t="s">
        <v>216</v>
      </c>
      <c r="C646">
        <v>561.97</v>
      </c>
      <c r="D646" t="s">
        <v>392</v>
      </c>
      <c r="E646">
        <v>3</v>
      </c>
      <c r="F646" t="s">
        <v>398</v>
      </c>
      <c r="G646" t="s">
        <v>403</v>
      </c>
      <c r="H646" t="s">
        <v>406</v>
      </c>
      <c r="I646" t="s">
        <v>410</v>
      </c>
      <c r="J646" t="s">
        <v>417</v>
      </c>
      <c r="K646" t="s">
        <v>583</v>
      </c>
    </row>
    <row r="647" spans="1:11" x14ac:dyDescent="0.35">
      <c r="A647" t="s">
        <v>36</v>
      </c>
      <c r="B647" t="s">
        <v>297</v>
      </c>
      <c r="C647">
        <v>2384.19</v>
      </c>
      <c r="D647" t="s">
        <v>396</v>
      </c>
      <c r="E647">
        <v>1</v>
      </c>
      <c r="F647" t="s">
        <v>398</v>
      </c>
      <c r="G647" t="s">
        <v>402</v>
      </c>
      <c r="H647" t="s">
        <v>406</v>
      </c>
      <c r="I647" t="s">
        <v>409</v>
      </c>
      <c r="J647" t="s">
        <v>417</v>
      </c>
      <c r="K647" t="s">
        <v>582</v>
      </c>
    </row>
    <row r="648" spans="1:11" x14ac:dyDescent="0.35">
      <c r="A648" t="s">
        <v>39</v>
      </c>
      <c r="B648" t="s">
        <v>346</v>
      </c>
      <c r="C648">
        <v>2117.79</v>
      </c>
      <c r="D648" t="s">
        <v>392</v>
      </c>
      <c r="E648">
        <v>2</v>
      </c>
      <c r="F648" t="s">
        <v>400</v>
      </c>
      <c r="G648" t="s">
        <v>402</v>
      </c>
      <c r="H648" t="s">
        <v>407</v>
      </c>
      <c r="I648" t="s">
        <v>410</v>
      </c>
      <c r="J648" t="s">
        <v>417</v>
      </c>
      <c r="K648" t="s">
        <v>583</v>
      </c>
    </row>
    <row r="649" spans="1:11" x14ac:dyDescent="0.35">
      <c r="A649" t="s">
        <v>88</v>
      </c>
      <c r="B649" t="s">
        <v>299</v>
      </c>
      <c r="C649">
        <v>3753.53</v>
      </c>
      <c r="D649" t="s">
        <v>392</v>
      </c>
      <c r="E649">
        <v>3</v>
      </c>
      <c r="F649" t="s">
        <v>398</v>
      </c>
      <c r="G649" t="s">
        <v>402</v>
      </c>
      <c r="H649" t="s">
        <v>407</v>
      </c>
      <c r="I649" t="s">
        <v>410</v>
      </c>
      <c r="J649" t="s">
        <v>417</v>
      </c>
      <c r="K649" t="s">
        <v>583</v>
      </c>
    </row>
    <row r="650" spans="1:11" x14ac:dyDescent="0.35">
      <c r="A650" t="s">
        <v>107</v>
      </c>
      <c r="B650" t="s">
        <v>376</v>
      </c>
      <c r="C650">
        <v>4477.46</v>
      </c>
      <c r="D650" t="s">
        <v>393</v>
      </c>
      <c r="E650">
        <v>3</v>
      </c>
      <c r="F650" t="s">
        <v>398</v>
      </c>
      <c r="G650" t="s">
        <v>403</v>
      </c>
      <c r="H650" t="s">
        <v>406</v>
      </c>
      <c r="I650" t="s">
        <v>409</v>
      </c>
      <c r="J650" t="s">
        <v>417</v>
      </c>
      <c r="K650" t="s">
        <v>582</v>
      </c>
    </row>
    <row r="651" spans="1:11" x14ac:dyDescent="0.35">
      <c r="A651" t="s">
        <v>109</v>
      </c>
      <c r="B651" t="s">
        <v>257</v>
      </c>
      <c r="C651">
        <v>791.65</v>
      </c>
      <c r="D651" t="s">
        <v>396</v>
      </c>
      <c r="E651">
        <v>5</v>
      </c>
      <c r="F651" t="s">
        <v>397</v>
      </c>
      <c r="G651" t="s">
        <v>402</v>
      </c>
      <c r="H651" t="s">
        <v>406</v>
      </c>
      <c r="I651" t="s">
        <v>409</v>
      </c>
      <c r="J651" t="s">
        <v>417</v>
      </c>
      <c r="K651" t="s">
        <v>583</v>
      </c>
    </row>
    <row r="652" spans="1:11" x14ac:dyDescent="0.35">
      <c r="A652" t="s">
        <v>75</v>
      </c>
      <c r="B652" t="s">
        <v>375</v>
      </c>
      <c r="C652">
        <v>4279.22</v>
      </c>
      <c r="D652" t="s">
        <v>393</v>
      </c>
      <c r="E652">
        <v>1</v>
      </c>
      <c r="F652" t="s">
        <v>401</v>
      </c>
      <c r="G652" t="s">
        <v>403</v>
      </c>
      <c r="H652" t="s">
        <v>404</v>
      </c>
      <c r="I652" t="s">
        <v>409</v>
      </c>
      <c r="J652" t="s">
        <v>417</v>
      </c>
      <c r="K652" t="s">
        <v>582</v>
      </c>
    </row>
    <row r="653" spans="1:11" x14ac:dyDescent="0.35">
      <c r="A653" t="s">
        <v>149</v>
      </c>
      <c r="B653" t="s">
        <v>315</v>
      </c>
      <c r="C653">
        <v>1659.16</v>
      </c>
      <c r="D653" t="s">
        <v>391</v>
      </c>
      <c r="E653">
        <v>1</v>
      </c>
      <c r="F653" t="s">
        <v>399</v>
      </c>
      <c r="G653" t="s">
        <v>402</v>
      </c>
      <c r="H653" t="s">
        <v>406</v>
      </c>
      <c r="I653" t="s">
        <v>410</v>
      </c>
      <c r="J653" t="s">
        <v>570</v>
      </c>
      <c r="K653" t="s">
        <v>583</v>
      </c>
    </row>
    <row r="654" spans="1:11" x14ac:dyDescent="0.35">
      <c r="A654" t="s">
        <v>149</v>
      </c>
      <c r="B654" t="s">
        <v>347</v>
      </c>
      <c r="C654">
        <v>3900.79</v>
      </c>
      <c r="D654" t="s">
        <v>393</v>
      </c>
      <c r="E654">
        <v>2</v>
      </c>
      <c r="F654" t="s">
        <v>401</v>
      </c>
      <c r="G654" t="s">
        <v>403</v>
      </c>
      <c r="H654" t="s">
        <v>406</v>
      </c>
      <c r="I654" t="s">
        <v>410</v>
      </c>
      <c r="J654" t="s">
        <v>570</v>
      </c>
      <c r="K654" t="s">
        <v>583</v>
      </c>
    </row>
    <row r="655" spans="1:11" x14ac:dyDescent="0.35">
      <c r="A655" t="s">
        <v>101</v>
      </c>
      <c r="B655" t="s">
        <v>256</v>
      </c>
      <c r="C655">
        <v>3455.58</v>
      </c>
      <c r="D655" t="s">
        <v>393</v>
      </c>
      <c r="E655">
        <v>5</v>
      </c>
      <c r="F655" t="s">
        <v>401</v>
      </c>
      <c r="G655" t="s">
        <v>403</v>
      </c>
      <c r="H655" t="s">
        <v>404</v>
      </c>
      <c r="I655" t="s">
        <v>409</v>
      </c>
      <c r="J655" t="s">
        <v>570</v>
      </c>
      <c r="K655" t="s">
        <v>582</v>
      </c>
    </row>
    <row r="656" spans="1:11" x14ac:dyDescent="0.35">
      <c r="A656" t="s">
        <v>112</v>
      </c>
      <c r="B656" t="s">
        <v>215</v>
      </c>
      <c r="C656">
        <v>3443.25</v>
      </c>
      <c r="D656" t="s">
        <v>394</v>
      </c>
      <c r="E656">
        <v>3</v>
      </c>
      <c r="F656" t="s">
        <v>398</v>
      </c>
      <c r="G656" t="s">
        <v>403</v>
      </c>
      <c r="H656" t="s">
        <v>404</v>
      </c>
      <c r="I656" t="s">
        <v>409</v>
      </c>
      <c r="J656" t="s">
        <v>467</v>
      </c>
      <c r="K656" t="s">
        <v>582</v>
      </c>
    </row>
    <row r="657" spans="1:11" x14ac:dyDescent="0.35">
      <c r="A657" t="s">
        <v>76</v>
      </c>
      <c r="B657" t="s">
        <v>383</v>
      </c>
      <c r="C657">
        <v>1108.6199999999999</v>
      </c>
      <c r="D657" t="s">
        <v>395</v>
      </c>
      <c r="E657">
        <v>5</v>
      </c>
      <c r="F657" t="s">
        <v>398</v>
      </c>
      <c r="G657" t="s">
        <v>402</v>
      </c>
      <c r="H657" t="s">
        <v>404</v>
      </c>
      <c r="I657" t="s">
        <v>410</v>
      </c>
      <c r="J657" t="s">
        <v>467</v>
      </c>
      <c r="K657" t="s">
        <v>582</v>
      </c>
    </row>
    <row r="658" spans="1:11" x14ac:dyDescent="0.35">
      <c r="A658" t="s">
        <v>191</v>
      </c>
      <c r="B658" t="s">
        <v>215</v>
      </c>
      <c r="C658">
        <v>2925.04</v>
      </c>
      <c r="D658" t="s">
        <v>394</v>
      </c>
      <c r="E658">
        <v>5</v>
      </c>
      <c r="F658" t="s">
        <v>400</v>
      </c>
      <c r="G658" t="s">
        <v>402</v>
      </c>
      <c r="H658" t="s">
        <v>407</v>
      </c>
      <c r="I658" t="s">
        <v>410</v>
      </c>
      <c r="J658" t="s">
        <v>467</v>
      </c>
      <c r="K658" t="s">
        <v>583</v>
      </c>
    </row>
    <row r="659" spans="1:11" x14ac:dyDescent="0.35">
      <c r="A659" t="s">
        <v>102</v>
      </c>
      <c r="B659" t="s">
        <v>255</v>
      </c>
      <c r="C659">
        <v>3229.8</v>
      </c>
      <c r="D659" t="s">
        <v>396</v>
      </c>
      <c r="E659">
        <v>1</v>
      </c>
      <c r="F659" t="s">
        <v>399</v>
      </c>
      <c r="G659" t="s">
        <v>403</v>
      </c>
      <c r="H659" t="s">
        <v>405</v>
      </c>
      <c r="I659" t="s">
        <v>409</v>
      </c>
      <c r="J659" t="s">
        <v>467</v>
      </c>
      <c r="K659" t="s">
        <v>583</v>
      </c>
    </row>
    <row r="660" spans="1:11" x14ac:dyDescent="0.35">
      <c r="A660" t="s">
        <v>137</v>
      </c>
      <c r="B660" t="s">
        <v>250</v>
      </c>
      <c r="C660">
        <v>3943.39</v>
      </c>
      <c r="D660" t="s">
        <v>392</v>
      </c>
      <c r="E660">
        <v>2</v>
      </c>
      <c r="F660" t="s">
        <v>397</v>
      </c>
      <c r="G660" t="s">
        <v>402</v>
      </c>
      <c r="H660" t="s">
        <v>407</v>
      </c>
      <c r="I660" t="s">
        <v>410</v>
      </c>
      <c r="J660" t="s">
        <v>467</v>
      </c>
      <c r="K660" t="s">
        <v>583</v>
      </c>
    </row>
    <row r="661" spans="1:11" x14ac:dyDescent="0.35">
      <c r="A661" t="s">
        <v>39</v>
      </c>
      <c r="B661" t="s">
        <v>347</v>
      </c>
      <c r="C661">
        <v>2583.5</v>
      </c>
      <c r="D661" t="s">
        <v>394</v>
      </c>
      <c r="E661">
        <v>4</v>
      </c>
      <c r="F661" t="s">
        <v>398</v>
      </c>
      <c r="G661" t="s">
        <v>402</v>
      </c>
      <c r="H661" t="s">
        <v>404</v>
      </c>
      <c r="I661" t="s">
        <v>409</v>
      </c>
      <c r="J661" t="s">
        <v>467</v>
      </c>
      <c r="K661" t="s">
        <v>582</v>
      </c>
    </row>
    <row r="662" spans="1:11" x14ac:dyDescent="0.35">
      <c r="A662" t="s">
        <v>18</v>
      </c>
      <c r="B662" t="s">
        <v>315</v>
      </c>
      <c r="C662">
        <v>233.79</v>
      </c>
      <c r="D662" t="s">
        <v>393</v>
      </c>
      <c r="E662">
        <v>4</v>
      </c>
      <c r="F662" t="s">
        <v>397</v>
      </c>
      <c r="G662" t="s">
        <v>403</v>
      </c>
      <c r="H662" t="s">
        <v>404</v>
      </c>
      <c r="I662" t="s">
        <v>410</v>
      </c>
      <c r="J662" t="s">
        <v>474</v>
      </c>
      <c r="K662" t="s">
        <v>583</v>
      </c>
    </row>
    <row r="663" spans="1:11" x14ac:dyDescent="0.35">
      <c r="A663" t="s">
        <v>16</v>
      </c>
      <c r="B663" t="s">
        <v>306</v>
      </c>
      <c r="C663">
        <v>3355.69</v>
      </c>
      <c r="D663" t="s">
        <v>393</v>
      </c>
      <c r="E663">
        <v>1</v>
      </c>
      <c r="F663" t="s">
        <v>400</v>
      </c>
      <c r="G663" t="s">
        <v>402</v>
      </c>
      <c r="H663" t="s">
        <v>407</v>
      </c>
      <c r="I663" t="s">
        <v>409</v>
      </c>
      <c r="J663" t="s">
        <v>474</v>
      </c>
      <c r="K663" t="s">
        <v>583</v>
      </c>
    </row>
    <row r="664" spans="1:11" x14ac:dyDescent="0.35">
      <c r="A664" t="s">
        <v>114</v>
      </c>
      <c r="B664" t="s">
        <v>269</v>
      </c>
      <c r="C664">
        <v>2004.98</v>
      </c>
      <c r="D664" t="s">
        <v>395</v>
      </c>
      <c r="E664">
        <v>2</v>
      </c>
      <c r="F664" t="s">
        <v>399</v>
      </c>
      <c r="G664" t="s">
        <v>403</v>
      </c>
      <c r="H664" t="s">
        <v>405</v>
      </c>
      <c r="I664" t="s">
        <v>409</v>
      </c>
      <c r="J664" t="s">
        <v>474</v>
      </c>
      <c r="K664" t="s">
        <v>582</v>
      </c>
    </row>
    <row r="665" spans="1:11" x14ac:dyDescent="0.35">
      <c r="A665" t="s">
        <v>126</v>
      </c>
      <c r="B665" t="s">
        <v>286</v>
      </c>
      <c r="C665">
        <v>2590.06</v>
      </c>
      <c r="D665" t="s">
        <v>392</v>
      </c>
      <c r="E665">
        <v>2</v>
      </c>
      <c r="F665" t="s">
        <v>401</v>
      </c>
      <c r="G665" t="s">
        <v>403</v>
      </c>
      <c r="H665" t="s">
        <v>406</v>
      </c>
      <c r="I665" t="s">
        <v>410</v>
      </c>
      <c r="J665" t="s">
        <v>474</v>
      </c>
      <c r="K665" t="s">
        <v>582</v>
      </c>
    </row>
    <row r="666" spans="1:11" x14ac:dyDescent="0.35">
      <c r="A666" t="s">
        <v>195</v>
      </c>
      <c r="B666" t="s">
        <v>218</v>
      </c>
      <c r="C666">
        <v>2730.42</v>
      </c>
      <c r="D666" t="s">
        <v>391</v>
      </c>
      <c r="E666">
        <v>2</v>
      </c>
      <c r="F666" t="s">
        <v>398</v>
      </c>
      <c r="G666" t="s">
        <v>402</v>
      </c>
      <c r="H666" t="s">
        <v>408</v>
      </c>
      <c r="I666" t="s">
        <v>410</v>
      </c>
      <c r="J666" t="s">
        <v>474</v>
      </c>
      <c r="K666" t="s">
        <v>583</v>
      </c>
    </row>
    <row r="667" spans="1:11" x14ac:dyDescent="0.35">
      <c r="A667" t="s">
        <v>16</v>
      </c>
      <c r="B667" t="s">
        <v>361</v>
      </c>
      <c r="C667">
        <v>3031.8</v>
      </c>
      <c r="D667" t="s">
        <v>395</v>
      </c>
      <c r="E667">
        <v>4</v>
      </c>
      <c r="F667" t="s">
        <v>401</v>
      </c>
      <c r="G667" t="s">
        <v>402</v>
      </c>
      <c r="H667" t="s">
        <v>404</v>
      </c>
      <c r="I667" t="s">
        <v>409</v>
      </c>
      <c r="J667" t="s">
        <v>474</v>
      </c>
      <c r="K667" t="s">
        <v>583</v>
      </c>
    </row>
    <row r="668" spans="1:11" x14ac:dyDescent="0.35">
      <c r="A668" t="s">
        <v>186</v>
      </c>
      <c r="B668" t="s">
        <v>290</v>
      </c>
      <c r="C668">
        <v>4743.5600000000004</v>
      </c>
      <c r="D668" t="s">
        <v>391</v>
      </c>
      <c r="E668">
        <v>1</v>
      </c>
      <c r="F668" t="s">
        <v>400</v>
      </c>
      <c r="G668" t="s">
        <v>403</v>
      </c>
      <c r="H668" t="s">
        <v>408</v>
      </c>
      <c r="I668" t="s">
        <v>409</v>
      </c>
      <c r="J668" t="s">
        <v>474</v>
      </c>
      <c r="K668" t="s">
        <v>583</v>
      </c>
    </row>
    <row r="669" spans="1:11" x14ac:dyDescent="0.35">
      <c r="A669" t="s">
        <v>106</v>
      </c>
      <c r="B669" t="s">
        <v>290</v>
      </c>
      <c r="C669">
        <v>3504.26</v>
      </c>
      <c r="D669" t="s">
        <v>392</v>
      </c>
      <c r="E669">
        <v>5</v>
      </c>
      <c r="F669" t="s">
        <v>397</v>
      </c>
      <c r="G669" t="s">
        <v>403</v>
      </c>
      <c r="H669" t="s">
        <v>407</v>
      </c>
      <c r="I669" t="s">
        <v>409</v>
      </c>
      <c r="J669" t="s">
        <v>534</v>
      </c>
      <c r="K669" t="s">
        <v>583</v>
      </c>
    </row>
    <row r="670" spans="1:11" x14ac:dyDescent="0.35">
      <c r="A670" t="s">
        <v>22</v>
      </c>
      <c r="B670" t="s">
        <v>322</v>
      </c>
      <c r="C670">
        <v>3015.62</v>
      </c>
      <c r="D670" t="s">
        <v>395</v>
      </c>
      <c r="E670">
        <v>1</v>
      </c>
      <c r="F670" t="s">
        <v>400</v>
      </c>
      <c r="G670" t="s">
        <v>403</v>
      </c>
      <c r="H670" t="s">
        <v>406</v>
      </c>
      <c r="I670" t="s">
        <v>409</v>
      </c>
      <c r="J670" t="s">
        <v>534</v>
      </c>
      <c r="K670" t="s">
        <v>582</v>
      </c>
    </row>
    <row r="671" spans="1:11" x14ac:dyDescent="0.35">
      <c r="A671" t="s">
        <v>147</v>
      </c>
      <c r="B671" t="s">
        <v>276</v>
      </c>
      <c r="C671">
        <v>4855.43</v>
      </c>
      <c r="D671" t="s">
        <v>393</v>
      </c>
      <c r="E671">
        <v>1</v>
      </c>
      <c r="F671" t="s">
        <v>400</v>
      </c>
      <c r="G671" t="s">
        <v>403</v>
      </c>
      <c r="H671" t="s">
        <v>406</v>
      </c>
      <c r="I671" t="s">
        <v>409</v>
      </c>
      <c r="J671" t="s">
        <v>534</v>
      </c>
      <c r="K671" t="s">
        <v>583</v>
      </c>
    </row>
    <row r="672" spans="1:11" x14ac:dyDescent="0.35">
      <c r="A672" t="s">
        <v>116</v>
      </c>
      <c r="B672" t="s">
        <v>307</v>
      </c>
      <c r="C672">
        <v>3727.59</v>
      </c>
      <c r="D672" t="s">
        <v>392</v>
      </c>
      <c r="E672">
        <v>2</v>
      </c>
      <c r="F672" t="s">
        <v>398</v>
      </c>
      <c r="G672" t="s">
        <v>403</v>
      </c>
      <c r="H672" t="s">
        <v>407</v>
      </c>
      <c r="I672" t="s">
        <v>409</v>
      </c>
      <c r="J672" t="s">
        <v>468</v>
      </c>
      <c r="K672" t="s">
        <v>582</v>
      </c>
    </row>
    <row r="673" spans="1:12" x14ac:dyDescent="0.35">
      <c r="A673" t="s">
        <v>96</v>
      </c>
      <c r="B673" t="s">
        <v>375</v>
      </c>
      <c r="C673">
        <v>479.89</v>
      </c>
      <c r="D673" t="s">
        <v>393</v>
      </c>
      <c r="E673">
        <v>2</v>
      </c>
      <c r="F673" t="s">
        <v>398</v>
      </c>
      <c r="G673" t="s">
        <v>403</v>
      </c>
      <c r="H673" t="s">
        <v>407</v>
      </c>
      <c r="I673" t="s">
        <v>410</v>
      </c>
      <c r="J673" t="s">
        <v>468</v>
      </c>
      <c r="K673" t="s">
        <v>583</v>
      </c>
    </row>
    <row r="674" spans="1:12" x14ac:dyDescent="0.35">
      <c r="A674" t="s">
        <v>11</v>
      </c>
      <c r="B674" t="s">
        <v>223</v>
      </c>
      <c r="C674">
        <v>2493.6</v>
      </c>
      <c r="D674" t="s">
        <v>391</v>
      </c>
      <c r="E674">
        <v>1</v>
      </c>
      <c r="F674" t="s">
        <v>397</v>
      </c>
      <c r="G674" t="s">
        <v>402</v>
      </c>
      <c r="H674" t="s">
        <v>407</v>
      </c>
      <c r="I674" t="s">
        <v>409</v>
      </c>
      <c r="J674" t="s">
        <v>468</v>
      </c>
      <c r="K674" t="s">
        <v>583</v>
      </c>
    </row>
    <row r="675" spans="1:12" x14ac:dyDescent="0.35">
      <c r="A675" t="s">
        <v>186</v>
      </c>
      <c r="B675" t="s">
        <v>360</v>
      </c>
      <c r="C675">
        <v>1076.6099999999999</v>
      </c>
      <c r="D675" t="s">
        <v>395</v>
      </c>
      <c r="E675">
        <v>4</v>
      </c>
      <c r="F675" t="s">
        <v>401</v>
      </c>
      <c r="G675" t="s">
        <v>403</v>
      </c>
      <c r="H675" t="s">
        <v>405</v>
      </c>
      <c r="I675" t="s">
        <v>409</v>
      </c>
      <c r="J675" t="s">
        <v>468</v>
      </c>
      <c r="K675" t="s">
        <v>582</v>
      </c>
    </row>
    <row r="676" spans="1:12" x14ac:dyDescent="0.35">
      <c r="A676" t="s">
        <v>11</v>
      </c>
      <c r="B676" t="s">
        <v>210</v>
      </c>
      <c r="C676">
        <v>394.73</v>
      </c>
      <c r="D676" t="s">
        <v>391</v>
      </c>
      <c r="E676">
        <v>4</v>
      </c>
      <c r="F676" t="s">
        <v>397</v>
      </c>
      <c r="G676" t="s">
        <v>402</v>
      </c>
      <c r="H676" t="s">
        <v>404</v>
      </c>
      <c r="I676" t="s">
        <v>409</v>
      </c>
      <c r="J676" t="s">
        <v>411</v>
      </c>
      <c r="K676" t="s">
        <v>582</v>
      </c>
      <c r="L676" s="6" t="str">
        <f>INDEX(Sheet1!$J:$J, MATCH(A676, Sheet1!$A:$A, 0))</f>
        <v>2025-09-06</v>
      </c>
    </row>
    <row r="677" spans="1:12" x14ac:dyDescent="0.35">
      <c r="A677" t="s">
        <v>75</v>
      </c>
      <c r="B677" t="s">
        <v>224</v>
      </c>
      <c r="C677">
        <v>2258.73</v>
      </c>
      <c r="D677" t="s">
        <v>392</v>
      </c>
      <c r="E677">
        <v>4</v>
      </c>
      <c r="F677" t="s">
        <v>398</v>
      </c>
      <c r="G677" t="s">
        <v>403</v>
      </c>
      <c r="H677" t="s">
        <v>408</v>
      </c>
      <c r="I677" t="s">
        <v>409</v>
      </c>
      <c r="J677" t="s">
        <v>411</v>
      </c>
      <c r="K677" t="s">
        <v>583</v>
      </c>
    </row>
    <row r="678" spans="1:12" x14ac:dyDescent="0.35">
      <c r="A678" t="s">
        <v>65</v>
      </c>
      <c r="B678" t="s">
        <v>218</v>
      </c>
      <c r="C678">
        <v>222.87</v>
      </c>
      <c r="D678" t="s">
        <v>395</v>
      </c>
      <c r="E678">
        <v>2</v>
      </c>
      <c r="F678" t="s">
        <v>400</v>
      </c>
      <c r="G678" t="s">
        <v>403</v>
      </c>
      <c r="H678" t="s">
        <v>404</v>
      </c>
      <c r="I678" t="s">
        <v>410</v>
      </c>
      <c r="J678" t="s">
        <v>411</v>
      </c>
      <c r="K678" t="s">
        <v>583</v>
      </c>
    </row>
    <row r="679" spans="1:12" x14ac:dyDescent="0.35">
      <c r="A679" t="s">
        <v>150</v>
      </c>
      <c r="B679" t="s">
        <v>306</v>
      </c>
      <c r="C679">
        <v>489.78</v>
      </c>
      <c r="D679" t="s">
        <v>391</v>
      </c>
      <c r="E679">
        <v>3</v>
      </c>
      <c r="F679" t="s">
        <v>401</v>
      </c>
      <c r="G679" t="s">
        <v>403</v>
      </c>
      <c r="H679" t="s">
        <v>407</v>
      </c>
      <c r="I679" t="s">
        <v>410</v>
      </c>
      <c r="J679" t="s">
        <v>515</v>
      </c>
      <c r="K679" t="s">
        <v>583</v>
      </c>
    </row>
    <row r="680" spans="1:12" x14ac:dyDescent="0.35">
      <c r="A680" t="s">
        <v>60</v>
      </c>
      <c r="B680" t="s">
        <v>309</v>
      </c>
      <c r="C680">
        <v>3073.15</v>
      </c>
      <c r="D680" t="s">
        <v>392</v>
      </c>
      <c r="E680">
        <v>1</v>
      </c>
      <c r="F680" t="s">
        <v>399</v>
      </c>
      <c r="G680" t="s">
        <v>402</v>
      </c>
      <c r="H680" t="s">
        <v>406</v>
      </c>
      <c r="I680" t="s">
        <v>410</v>
      </c>
      <c r="J680" t="s">
        <v>515</v>
      </c>
      <c r="K680" t="s">
        <v>583</v>
      </c>
    </row>
    <row r="681" spans="1:12" x14ac:dyDescent="0.35">
      <c r="A681" t="s">
        <v>74</v>
      </c>
      <c r="B681" t="s">
        <v>309</v>
      </c>
      <c r="C681">
        <v>3579.91</v>
      </c>
      <c r="D681" t="s">
        <v>391</v>
      </c>
      <c r="E681">
        <v>2</v>
      </c>
      <c r="F681" t="s">
        <v>398</v>
      </c>
      <c r="G681" t="s">
        <v>403</v>
      </c>
      <c r="H681" t="s">
        <v>404</v>
      </c>
      <c r="I681" t="s">
        <v>409</v>
      </c>
      <c r="J681" t="s">
        <v>515</v>
      </c>
      <c r="K681" t="s">
        <v>583</v>
      </c>
    </row>
    <row r="682" spans="1:12" x14ac:dyDescent="0.35">
      <c r="A682" t="s">
        <v>191</v>
      </c>
      <c r="B682" t="s">
        <v>272</v>
      </c>
      <c r="C682">
        <v>739.8</v>
      </c>
      <c r="D682" t="s">
        <v>392</v>
      </c>
      <c r="E682">
        <v>2</v>
      </c>
      <c r="F682" t="s">
        <v>399</v>
      </c>
      <c r="G682" t="s">
        <v>403</v>
      </c>
      <c r="H682" t="s">
        <v>404</v>
      </c>
      <c r="I682" t="s">
        <v>409</v>
      </c>
      <c r="J682" t="s">
        <v>515</v>
      </c>
      <c r="K682" t="s">
        <v>582</v>
      </c>
    </row>
    <row r="683" spans="1:12" x14ac:dyDescent="0.35">
      <c r="A683" t="s">
        <v>20</v>
      </c>
      <c r="B683" t="s">
        <v>381</v>
      </c>
      <c r="C683">
        <v>4959.05</v>
      </c>
      <c r="D683" t="s">
        <v>392</v>
      </c>
      <c r="E683">
        <v>3</v>
      </c>
      <c r="F683" t="s">
        <v>399</v>
      </c>
      <c r="G683" t="s">
        <v>403</v>
      </c>
      <c r="H683" t="s">
        <v>407</v>
      </c>
      <c r="I683" t="s">
        <v>409</v>
      </c>
      <c r="J683" t="s">
        <v>515</v>
      </c>
      <c r="K683" t="s">
        <v>582</v>
      </c>
    </row>
    <row r="684" spans="1:12" x14ac:dyDescent="0.35">
      <c r="A684" t="s">
        <v>71</v>
      </c>
      <c r="B684" t="s">
        <v>273</v>
      </c>
      <c r="C684">
        <v>1354.91</v>
      </c>
      <c r="D684" t="s">
        <v>391</v>
      </c>
      <c r="E684">
        <v>5</v>
      </c>
      <c r="F684" t="s">
        <v>398</v>
      </c>
      <c r="G684" t="s">
        <v>403</v>
      </c>
      <c r="H684" t="s">
        <v>407</v>
      </c>
      <c r="I684" t="s">
        <v>409</v>
      </c>
      <c r="J684" t="s">
        <v>515</v>
      </c>
      <c r="K684" t="s">
        <v>582</v>
      </c>
    </row>
    <row r="685" spans="1:12" x14ac:dyDescent="0.35">
      <c r="A685" t="s">
        <v>139</v>
      </c>
      <c r="B685" t="s">
        <v>339</v>
      </c>
      <c r="C685">
        <v>2297.7800000000002</v>
      </c>
      <c r="D685" t="s">
        <v>391</v>
      </c>
      <c r="E685">
        <v>3</v>
      </c>
      <c r="F685" t="s">
        <v>401</v>
      </c>
      <c r="G685" t="s">
        <v>402</v>
      </c>
      <c r="H685" t="s">
        <v>405</v>
      </c>
      <c r="I685" t="s">
        <v>410</v>
      </c>
      <c r="J685" t="s">
        <v>515</v>
      </c>
      <c r="K685" t="s">
        <v>583</v>
      </c>
    </row>
    <row r="686" spans="1:12" x14ac:dyDescent="0.35">
      <c r="A686" t="s">
        <v>94</v>
      </c>
      <c r="B686" t="s">
        <v>215</v>
      </c>
      <c r="C686">
        <v>3854.82</v>
      </c>
      <c r="D686" t="s">
        <v>391</v>
      </c>
      <c r="E686">
        <v>2</v>
      </c>
      <c r="F686" t="s">
        <v>401</v>
      </c>
      <c r="G686" t="s">
        <v>403</v>
      </c>
      <c r="H686" t="s">
        <v>404</v>
      </c>
      <c r="I686" t="s">
        <v>409</v>
      </c>
      <c r="J686" t="s">
        <v>515</v>
      </c>
      <c r="K686" t="s">
        <v>582</v>
      </c>
    </row>
    <row r="687" spans="1:12" x14ac:dyDescent="0.35">
      <c r="A687" t="s">
        <v>42</v>
      </c>
      <c r="B687" t="s">
        <v>247</v>
      </c>
      <c r="C687">
        <v>4040.76</v>
      </c>
      <c r="D687" t="s">
        <v>392</v>
      </c>
      <c r="E687">
        <v>3</v>
      </c>
      <c r="F687" t="s">
        <v>401</v>
      </c>
      <c r="G687" t="s">
        <v>402</v>
      </c>
      <c r="H687" t="s">
        <v>408</v>
      </c>
      <c r="I687" t="s">
        <v>409</v>
      </c>
      <c r="J687" t="s">
        <v>431</v>
      </c>
      <c r="K687" t="s">
        <v>583</v>
      </c>
    </row>
    <row r="688" spans="1:12" x14ac:dyDescent="0.35">
      <c r="A688" t="s">
        <v>45</v>
      </c>
      <c r="B688" t="s">
        <v>358</v>
      </c>
      <c r="C688">
        <v>4385.04</v>
      </c>
      <c r="D688" t="s">
        <v>393</v>
      </c>
      <c r="E688">
        <v>2</v>
      </c>
      <c r="F688" t="s">
        <v>398</v>
      </c>
      <c r="G688" t="s">
        <v>403</v>
      </c>
      <c r="H688" t="s">
        <v>404</v>
      </c>
      <c r="I688" t="s">
        <v>410</v>
      </c>
      <c r="J688" t="s">
        <v>431</v>
      </c>
      <c r="K688" t="s">
        <v>582</v>
      </c>
    </row>
    <row r="689" spans="1:11" x14ac:dyDescent="0.35">
      <c r="A689" t="s">
        <v>72</v>
      </c>
      <c r="B689" t="s">
        <v>327</v>
      </c>
      <c r="C689">
        <v>1511.83</v>
      </c>
      <c r="D689" t="s">
        <v>392</v>
      </c>
      <c r="E689">
        <v>3</v>
      </c>
      <c r="F689" t="s">
        <v>399</v>
      </c>
      <c r="G689" t="s">
        <v>403</v>
      </c>
      <c r="H689" t="s">
        <v>408</v>
      </c>
      <c r="I689" t="s">
        <v>409</v>
      </c>
      <c r="J689" t="s">
        <v>431</v>
      </c>
      <c r="K689" t="s">
        <v>583</v>
      </c>
    </row>
    <row r="690" spans="1:11" x14ac:dyDescent="0.35">
      <c r="A690" t="s">
        <v>56</v>
      </c>
      <c r="B690" t="s">
        <v>228</v>
      </c>
      <c r="C690">
        <v>3773.62</v>
      </c>
      <c r="D690" t="s">
        <v>391</v>
      </c>
      <c r="E690">
        <v>5</v>
      </c>
      <c r="F690" t="s">
        <v>401</v>
      </c>
      <c r="G690" t="s">
        <v>402</v>
      </c>
      <c r="H690" t="s">
        <v>407</v>
      </c>
      <c r="I690" t="s">
        <v>410</v>
      </c>
      <c r="J690" t="s">
        <v>496</v>
      </c>
      <c r="K690" t="s">
        <v>582</v>
      </c>
    </row>
    <row r="691" spans="1:11" x14ac:dyDescent="0.35">
      <c r="A691" t="s">
        <v>125</v>
      </c>
      <c r="B691" t="s">
        <v>294</v>
      </c>
      <c r="C691">
        <v>4156.8500000000004</v>
      </c>
      <c r="D691" t="s">
        <v>396</v>
      </c>
      <c r="E691">
        <v>2</v>
      </c>
      <c r="F691" t="s">
        <v>397</v>
      </c>
      <c r="G691" t="s">
        <v>402</v>
      </c>
      <c r="H691" t="s">
        <v>407</v>
      </c>
      <c r="I691" t="s">
        <v>409</v>
      </c>
      <c r="J691" t="s">
        <v>496</v>
      </c>
      <c r="K691" t="s">
        <v>583</v>
      </c>
    </row>
    <row r="692" spans="1:11" x14ac:dyDescent="0.35">
      <c r="A692" t="s">
        <v>195</v>
      </c>
      <c r="B692" t="s">
        <v>379</v>
      </c>
      <c r="C692">
        <v>992.02</v>
      </c>
      <c r="D692" t="s">
        <v>395</v>
      </c>
      <c r="E692">
        <v>4</v>
      </c>
      <c r="F692" t="s">
        <v>397</v>
      </c>
      <c r="G692" t="s">
        <v>403</v>
      </c>
      <c r="H692" t="s">
        <v>404</v>
      </c>
      <c r="I692" t="s">
        <v>410</v>
      </c>
      <c r="J692" t="s">
        <v>496</v>
      </c>
      <c r="K692" t="s">
        <v>582</v>
      </c>
    </row>
    <row r="693" spans="1:11" x14ac:dyDescent="0.35">
      <c r="A693" t="s">
        <v>162</v>
      </c>
      <c r="B693" t="s">
        <v>369</v>
      </c>
      <c r="C693">
        <v>280.67</v>
      </c>
      <c r="D693" t="s">
        <v>393</v>
      </c>
      <c r="E693">
        <v>2</v>
      </c>
      <c r="F693" t="s">
        <v>401</v>
      </c>
      <c r="G693" t="s">
        <v>403</v>
      </c>
      <c r="H693" t="s">
        <v>407</v>
      </c>
      <c r="I693" t="s">
        <v>409</v>
      </c>
      <c r="J693" t="s">
        <v>496</v>
      </c>
      <c r="K693" t="s">
        <v>583</v>
      </c>
    </row>
    <row r="694" spans="1:11" x14ac:dyDescent="0.35">
      <c r="A694" t="s">
        <v>158</v>
      </c>
      <c r="B694" t="s">
        <v>306</v>
      </c>
      <c r="C694">
        <v>3350.44</v>
      </c>
      <c r="D694" t="s">
        <v>396</v>
      </c>
      <c r="E694">
        <v>4</v>
      </c>
      <c r="F694" t="s">
        <v>397</v>
      </c>
      <c r="G694" t="s">
        <v>402</v>
      </c>
      <c r="H694" t="s">
        <v>405</v>
      </c>
      <c r="I694" t="s">
        <v>409</v>
      </c>
      <c r="J694" t="s">
        <v>496</v>
      </c>
      <c r="K694" t="s">
        <v>583</v>
      </c>
    </row>
    <row r="695" spans="1:11" x14ac:dyDescent="0.35">
      <c r="A695" t="s">
        <v>14</v>
      </c>
      <c r="B695" t="s">
        <v>213</v>
      </c>
      <c r="C695">
        <v>852.7</v>
      </c>
      <c r="D695" t="s">
        <v>392</v>
      </c>
      <c r="E695">
        <v>3</v>
      </c>
      <c r="F695" t="s">
        <v>397</v>
      </c>
      <c r="G695" t="s">
        <v>402</v>
      </c>
      <c r="H695" t="s">
        <v>407</v>
      </c>
      <c r="I695" t="s">
        <v>410</v>
      </c>
      <c r="J695" t="s">
        <v>414</v>
      </c>
      <c r="K695" t="s">
        <v>583</v>
      </c>
    </row>
    <row r="696" spans="1:11" x14ac:dyDescent="0.35">
      <c r="A696" t="s">
        <v>68</v>
      </c>
      <c r="B696" t="s">
        <v>333</v>
      </c>
      <c r="C696">
        <v>2337.2600000000002</v>
      </c>
      <c r="D696" t="s">
        <v>391</v>
      </c>
      <c r="E696">
        <v>4</v>
      </c>
      <c r="F696" t="s">
        <v>398</v>
      </c>
      <c r="G696" t="s">
        <v>402</v>
      </c>
      <c r="H696" t="s">
        <v>404</v>
      </c>
      <c r="I696" t="s">
        <v>409</v>
      </c>
      <c r="J696" t="s">
        <v>414</v>
      </c>
      <c r="K696" t="s">
        <v>582</v>
      </c>
    </row>
    <row r="697" spans="1:11" x14ac:dyDescent="0.35">
      <c r="A697" t="s">
        <v>187</v>
      </c>
      <c r="B697" t="s">
        <v>357</v>
      </c>
      <c r="C697">
        <v>4321.78</v>
      </c>
      <c r="D697" t="s">
        <v>392</v>
      </c>
      <c r="E697">
        <v>4</v>
      </c>
      <c r="F697" t="s">
        <v>400</v>
      </c>
      <c r="G697" t="s">
        <v>402</v>
      </c>
      <c r="H697" t="s">
        <v>407</v>
      </c>
      <c r="I697" t="s">
        <v>409</v>
      </c>
      <c r="J697" t="s">
        <v>414</v>
      </c>
      <c r="K697" t="s">
        <v>582</v>
      </c>
    </row>
    <row r="698" spans="1:11" x14ac:dyDescent="0.35">
      <c r="A698" t="s">
        <v>87</v>
      </c>
      <c r="B698" t="s">
        <v>232</v>
      </c>
      <c r="C698">
        <v>863.09</v>
      </c>
      <c r="D698" t="s">
        <v>392</v>
      </c>
      <c r="E698">
        <v>3</v>
      </c>
      <c r="F698" t="s">
        <v>399</v>
      </c>
      <c r="G698" t="s">
        <v>403</v>
      </c>
      <c r="H698" t="s">
        <v>408</v>
      </c>
      <c r="I698" t="s">
        <v>409</v>
      </c>
      <c r="J698" t="s">
        <v>450</v>
      </c>
      <c r="K698" t="s">
        <v>583</v>
      </c>
    </row>
    <row r="699" spans="1:11" x14ac:dyDescent="0.35">
      <c r="A699" t="s">
        <v>137</v>
      </c>
      <c r="B699" t="s">
        <v>301</v>
      </c>
      <c r="C699">
        <v>956.57</v>
      </c>
      <c r="D699" t="s">
        <v>391</v>
      </c>
      <c r="E699">
        <v>2</v>
      </c>
      <c r="F699" t="s">
        <v>398</v>
      </c>
      <c r="G699" t="s">
        <v>403</v>
      </c>
      <c r="H699" t="s">
        <v>408</v>
      </c>
      <c r="I699" t="s">
        <v>410</v>
      </c>
      <c r="J699" t="s">
        <v>450</v>
      </c>
      <c r="K699" t="s">
        <v>583</v>
      </c>
    </row>
    <row r="700" spans="1:11" x14ac:dyDescent="0.35">
      <c r="A700" t="s">
        <v>148</v>
      </c>
      <c r="B700" t="s">
        <v>320</v>
      </c>
      <c r="C700">
        <v>1013.86</v>
      </c>
      <c r="D700" t="s">
        <v>391</v>
      </c>
      <c r="E700">
        <v>5</v>
      </c>
      <c r="F700" t="s">
        <v>399</v>
      </c>
      <c r="G700" t="s">
        <v>403</v>
      </c>
      <c r="H700" t="s">
        <v>406</v>
      </c>
      <c r="I700" t="s">
        <v>409</v>
      </c>
      <c r="J700" t="s">
        <v>450</v>
      </c>
      <c r="K700" t="s">
        <v>582</v>
      </c>
    </row>
    <row r="701" spans="1:11" x14ac:dyDescent="0.35">
      <c r="A701" t="s">
        <v>147</v>
      </c>
      <c r="B701" t="s">
        <v>304</v>
      </c>
      <c r="C701">
        <v>3263.66</v>
      </c>
      <c r="D701" t="s">
        <v>392</v>
      </c>
      <c r="E701">
        <v>3</v>
      </c>
      <c r="F701" t="s">
        <v>397</v>
      </c>
      <c r="G701" t="s">
        <v>402</v>
      </c>
      <c r="H701" t="s">
        <v>405</v>
      </c>
      <c r="I701" t="s">
        <v>409</v>
      </c>
      <c r="J701" t="s">
        <v>450</v>
      </c>
      <c r="K701" t="s">
        <v>583</v>
      </c>
    </row>
    <row r="702" spans="1:11" x14ac:dyDescent="0.35">
      <c r="A702" t="s">
        <v>202</v>
      </c>
      <c r="B702" t="s">
        <v>273</v>
      </c>
      <c r="C702">
        <v>1365.33</v>
      </c>
      <c r="D702" t="s">
        <v>394</v>
      </c>
      <c r="E702">
        <v>2</v>
      </c>
      <c r="F702" t="s">
        <v>397</v>
      </c>
      <c r="G702" t="s">
        <v>403</v>
      </c>
      <c r="H702" t="s">
        <v>408</v>
      </c>
      <c r="I702" t="s">
        <v>410</v>
      </c>
      <c r="J702" t="s">
        <v>450</v>
      </c>
      <c r="K702" t="s">
        <v>582</v>
      </c>
    </row>
    <row r="703" spans="1:11" x14ac:dyDescent="0.35">
      <c r="A703" t="s">
        <v>20</v>
      </c>
      <c r="B703" t="s">
        <v>218</v>
      </c>
      <c r="C703">
        <v>3372.53</v>
      </c>
      <c r="D703" t="s">
        <v>395</v>
      </c>
      <c r="E703">
        <v>4</v>
      </c>
      <c r="F703" t="s">
        <v>399</v>
      </c>
      <c r="G703" t="s">
        <v>403</v>
      </c>
      <c r="H703" t="s">
        <v>406</v>
      </c>
      <c r="I703" t="s">
        <v>409</v>
      </c>
      <c r="J703" t="s">
        <v>419</v>
      </c>
      <c r="K703" t="s">
        <v>582</v>
      </c>
    </row>
    <row r="704" spans="1:11" x14ac:dyDescent="0.35">
      <c r="A704" t="s">
        <v>43</v>
      </c>
      <c r="B704" t="s">
        <v>239</v>
      </c>
      <c r="C704">
        <v>4520.66</v>
      </c>
      <c r="D704" t="s">
        <v>396</v>
      </c>
      <c r="E704">
        <v>5</v>
      </c>
      <c r="F704" t="s">
        <v>397</v>
      </c>
      <c r="G704" t="s">
        <v>402</v>
      </c>
      <c r="H704" t="s">
        <v>404</v>
      </c>
      <c r="I704" t="s">
        <v>409</v>
      </c>
      <c r="J704" t="s">
        <v>419</v>
      </c>
      <c r="K704" t="s">
        <v>583</v>
      </c>
    </row>
    <row r="705" spans="1:11" x14ac:dyDescent="0.35">
      <c r="A705" t="s">
        <v>114</v>
      </c>
      <c r="B705" t="s">
        <v>250</v>
      </c>
      <c r="C705">
        <v>3683.38</v>
      </c>
      <c r="D705" t="s">
        <v>391</v>
      </c>
      <c r="E705">
        <v>1</v>
      </c>
      <c r="F705" t="s">
        <v>401</v>
      </c>
      <c r="G705" t="s">
        <v>402</v>
      </c>
      <c r="H705" t="s">
        <v>405</v>
      </c>
      <c r="I705" t="s">
        <v>410</v>
      </c>
      <c r="J705" t="s">
        <v>419</v>
      </c>
      <c r="K705" t="s">
        <v>582</v>
      </c>
    </row>
    <row r="706" spans="1:11" x14ac:dyDescent="0.35">
      <c r="A706" t="s">
        <v>165</v>
      </c>
      <c r="B706" t="s">
        <v>363</v>
      </c>
      <c r="C706">
        <v>2024.42</v>
      </c>
      <c r="D706" t="s">
        <v>394</v>
      </c>
      <c r="E706">
        <v>2</v>
      </c>
      <c r="F706" t="s">
        <v>398</v>
      </c>
      <c r="G706" t="s">
        <v>403</v>
      </c>
      <c r="H706" t="s">
        <v>408</v>
      </c>
      <c r="I706" t="s">
        <v>409</v>
      </c>
      <c r="J706" t="s">
        <v>419</v>
      </c>
      <c r="K706" t="s">
        <v>583</v>
      </c>
    </row>
    <row r="707" spans="1:11" x14ac:dyDescent="0.35">
      <c r="A707" t="s">
        <v>55</v>
      </c>
      <c r="B707" t="s">
        <v>310</v>
      </c>
      <c r="C707">
        <v>452.34</v>
      </c>
      <c r="D707" t="s">
        <v>394</v>
      </c>
      <c r="E707">
        <v>5</v>
      </c>
      <c r="F707" t="s">
        <v>398</v>
      </c>
      <c r="G707" t="s">
        <v>402</v>
      </c>
      <c r="H707" t="s">
        <v>404</v>
      </c>
      <c r="I707" t="s">
        <v>409</v>
      </c>
      <c r="J707" t="s">
        <v>419</v>
      </c>
      <c r="K707" t="s">
        <v>583</v>
      </c>
    </row>
    <row r="708" spans="1:11" x14ac:dyDescent="0.35">
      <c r="A708" t="s">
        <v>83</v>
      </c>
      <c r="B708" t="s">
        <v>246</v>
      </c>
      <c r="C708">
        <v>2093.63</v>
      </c>
      <c r="D708" t="s">
        <v>394</v>
      </c>
      <c r="E708">
        <v>1</v>
      </c>
      <c r="F708" t="s">
        <v>398</v>
      </c>
      <c r="G708" t="s">
        <v>402</v>
      </c>
      <c r="H708" t="s">
        <v>405</v>
      </c>
      <c r="I708" t="s">
        <v>409</v>
      </c>
      <c r="J708" t="s">
        <v>419</v>
      </c>
      <c r="K708" t="s">
        <v>583</v>
      </c>
    </row>
    <row r="709" spans="1:11" x14ac:dyDescent="0.35">
      <c r="A709" t="s">
        <v>30</v>
      </c>
      <c r="B709" t="s">
        <v>303</v>
      </c>
      <c r="C709">
        <v>4572.43</v>
      </c>
      <c r="D709" t="s">
        <v>395</v>
      </c>
      <c r="E709">
        <v>4</v>
      </c>
      <c r="F709" t="s">
        <v>400</v>
      </c>
      <c r="G709" t="s">
        <v>402</v>
      </c>
      <c r="H709" t="s">
        <v>404</v>
      </c>
      <c r="I709" t="s">
        <v>409</v>
      </c>
      <c r="J709" t="s">
        <v>419</v>
      </c>
      <c r="K709" t="s">
        <v>583</v>
      </c>
    </row>
    <row r="710" spans="1:11" x14ac:dyDescent="0.35">
      <c r="A710" t="s">
        <v>116</v>
      </c>
      <c r="B710" t="s">
        <v>276</v>
      </c>
      <c r="C710">
        <v>4513.84</v>
      </c>
      <c r="D710" t="s">
        <v>393</v>
      </c>
      <c r="E710">
        <v>2</v>
      </c>
      <c r="F710" t="s">
        <v>400</v>
      </c>
      <c r="G710" t="s">
        <v>402</v>
      </c>
      <c r="H710" t="s">
        <v>405</v>
      </c>
      <c r="I710" t="s">
        <v>409</v>
      </c>
      <c r="J710" t="s">
        <v>419</v>
      </c>
      <c r="K710" t="s">
        <v>583</v>
      </c>
    </row>
    <row r="711" spans="1:11" x14ac:dyDescent="0.35">
      <c r="A711" t="s">
        <v>139</v>
      </c>
      <c r="B711" t="s">
        <v>382</v>
      </c>
      <c r="C711">
        <v>3647.86</v>
      </c>
      <c r="D711" t="s">
        <v>394</v>
      </c>
      <c r="E711">
        <v>3</v>
      </c>
      <c r="F711" t="s">
        <v>397</v>
      </c>
      <c r="G711" t="s">
        <v>403</v>
      </c>
      <c r="H711" t="s">
        <v>405</v>
      </c>
      <c r="I711" t="s">
        <v>410</v>
      </c>
      <c r="J711" t="s">
        <v>419</v>
      </c>
      <c r="K711" t="s">
        <v>582</v>
      </c>
    </row>
    <row r="712" spans="1:11" x14ac:dyDescent="0.35">
      <c r="A712" t="s">
        <v>72</v>
      </c>
      <c r="B712" t="s">
        <v>378</v>
      </c>
      <c r="C712">
        <v>216.57</v>
      </c>
      <c r="D712" t="s">
        <v>393</v>
      </c>
      <c r="E712">
        <v>1</v>
      </c>
      <c r="F712" t="s">
        <v>401</v>
      </c>
      <c r="G712" t="s">
        <v>403</v>
      </c>
      <c r="H712" t="s">
        <v>406</v>
      </c>
      <c r="I712" t="s">
        <v>409</v>
      </c>
      <c r="J712" t="s">
        <v>419</v>
      </c>
      <c r="K712" t="s">
        <v>583</v>
      </c>
    </row>
    <row r="713" spans="1:11" x14ac:dyDescent="0.35">
      <c r="A713" t="s">
        <v>121</v>
      </c>
      <c r="B713" t="s">
        <v>326</v>
      </c>
      <c r="C713">
        <v>363.07</v>
      </c>
      <c r="D713" t="s">
        <v>396</v>
      </c>
      <c r="E713">
        <v>1</v>
      </c>
      <c r="F713" t="s">
        <v>399</v>
      </c>
      <c r="G713" t="s">
        <v>402</v>
      </c>
      <c r="H713" t="s">
        <v>404</v>
      </c>
      <c r="I713" t="s">
        <v>409</v>
      </c>
      <c r="J713" t="s">
        <v>419</v>
      </c>
      <c r="K713" t="s">
        <v>583</v>
      </c>
    </row>
    <row r="714" spans="1:11" x14ac:dyDescent="0.35">
      <c r="A714" t="s">
        <v>14</v>
      </c>
      <c r="B714" t="s">
        <v>315</v>
      </c>
      <c r="C714">
        <v>3470.26</v>
      </c>
      <c r="D714" t="s">
        <v>394</v>
      </c>
      <c r="E714">
        <v>2</v>
      </c>
      <c r="F714" t="s">
        <v>399</v>
      </c>
      <c r="G714" t="s">
        <v>402</v>
      </c>
      <c r="H714" t="s">
        <v>405</v>
      </c>
      <c r="I714" t="s">
        <v>410</v>
      </c>
      <c r="J714" t="s">
        <v>489</v>
      </c>
      <c r="K714" t="s">
        <v>583</v>
      </c>
    </row>
    <row r="715" spans="1:11" x14ac:dyDescent="0.35">
      <c r="A715" t="s">
        <v>170</v>
      </c>
      <c r="B715" t="s">
        <v>216</v>
      </c>
      <c r="C715">
        <v>1970.66</v>
      </c>
      <c r="D715" t="s">
        <v>392</v>
      </c>
      <c r="E715">
        <v>3</v>
      </c>
      <c r="F715" t="s">
        <v>400</v>
      </c>
      <c r="G715" t="s">
        <v>403</v>
      </c>
      <c r="H715" t="s">
        <v>408</v>
      </c>
      <c r="I715" t="s">
        <v>409</v>
      </c>
      <c r="J715" t="s">
        <v>489</v>
      </c>
      <c r="K715" t="s">
        <v>583</v>
      </c>
    </row>
    <row r="716" spans="1:11" x14ac:dyDescent="0.35">
      <c r="A716" t="s">
        <v>152</v>
      </c>
      <c r="B716" t="s">
        <v>245</v>
      </c>
      <c r="C716">
        <v>1012.71</v>
      </c>
      <c r="D716" t="s">
        <v>394</v>
      </c>
      <c r="E716">
        <v>4</v>
      </c>
      <c r="F716" t="s">
        <v>398</v>
      </c>
      <c r="G716" t="s">
        <v>402</v>
      </c>
      <c r="H716" t="s">
        <v>407</v>
      </c>
      <c r="I716" t="s">
        <v>409</v>
      </c>
      <c r="J716" t="s">
        <v>489</v>
      </c>
      <c r="K716" t="s">
        <v>583</v>
      </c>
    </row>
    <row r="717" spans="1:11" x14ac:dyDescent="0.35">
      <c r="A717" t="s">
        <v>114</v>
      </c>
      <c r="B717" t="s">
        <v>289</v>
      </c>
      <c r="C717">
        <v>4795.1099999999997</v>
      </c>
      <c r="D717" t="s">
        <v>396</v>
      </c>
      <c r="E717">
        <v>2</v>
      </c>
      <c r="F717" t="s">
        <v>399</v>
      </c>
      <c r="G717" t="s">
        <v>402</v>
      </c>
      <c r="H717" t="s">
        <v>404</v>
      </c>
      <c r="I717" t="s">
        <v>409</v>
      </c>
      <c r="J717" t="s">
        <v>489</v>
      </c>
      <c r="K717" t="s">
        <v>582</v>
      </c>
    </row>
    <row r="718" spans="1:11" x14ac:dyDescent="0.35">
      <c r="A718" t="s">
        <v>173</v>
      </c>
      <c r="B718" t="s">
        <v>307</v>
      </c>
      <c r="C718">
        <v>4363.13</v>
      </c>
      <c r="D718" t="s">
        <v>392</v>
      </c>
      <c r="E718">
        <v>3</v>
      </c>
      <c r="F718" t="s">
        <v>397</v>
      </c>
      <c r="G718" t="s">
        <v>402</v>
      </c>
      <c r="H718" t="s">
        <v>404</v>
      </c>
      <c r="I718" t="s">
        <v>410</v>
      </c>
      <c r="J718" t="s">
        <v>489</v>
      </c>
      <c r="K718" t="s">
        <v>583</v>
      </c>
    </row>
    <row r="719" spans="1:11" x14ac:dyDescent="0.35">
      <c r="A719" t="s">
        <v>108</v>
      </c>
      <c r="B719" t="s">
        <v>213</v>
      </c>
      <c r="C719">
        <v>822.71</v>
      </c>
      <c r="D719" t="s">
        <v>395</v>
      </c>
      <c r="E719">
        <v>2</v>
      </c>
      <c r="F719" t="s">
        <v>400</v>
      </c>
      <c r="G719" t="s">
        <v>402</v>
      </c>
      <c r="H719" t="s">
        <v>408</v>
      </c>
      <c r="I719" t="s">
        <v>410</v>
      </c>
      <c r="J719" t="s">
        <v>489</v>
      </c>
      <c r="K719" t="s">
        <v>583</v>
      </c>
    </row>
    <row r="720" spans="1:11" x14ac:dyDescent="0.35">
      <c r="A720" t="s">
        <v>174</v>
      </c>
      <c r="B720" t="s">
        <v>223</v>
      </c>
      <c r="C720">
        <v>4061.58</v>
      </c>
      <c r="D720" t="s">
        <v>392</v>
      </c>
      <c r="E720">
        <v>3</v>
      </c>
      <c r="F720" t="s">
        <v>398</v>
      </c>
      <c r="G720" t="s">
        <v>403</v>
      </c>
      <c r="H720" t="s">
        <v>406</v>
      </c>
      <c r="I720" t="s">
        <v>409</v>
      </c>
      <c r="J720" t="s">
        <v>489</v>
      </c>
      <c r="K720" t="s">
        <v>582</v>
      </c>
    </row>
    <row r="721" spans="1:11" x14ac:dyDescent="0.35">
      <c r="A721" t="s">
        <v>102</v>
      </c>
      <c r="B721" t="s">
        <v>276</v>
      </c>
      <c r="C721">
        <v>1156.75</v>
      </c>
      <c r="D721" t="s">
        <v>391</v>
      </c>
      <c r="E721">
        <v>1</v>
      </c>
      <c r="F721" t="s">
        <v>398</v>
      </c>
      <c r="G721" t="s">
        <v>402</v>
      </c>
      <c r="H721" t="s">
        <v>408</v>
      </c>
      <c r="I721" t="s">
        <v>410</v>
      </c>
      <c r="J721" t="s">
        <v>489</v>
      </c>
      <c r="K721" t="s">
        <v>582</v>
      </c>
    </row>
    <row r="722" spans="1:11" x14ac:dyDescent="0.35">
      <c r="A722" t="s">
        <v>13</v>
      </c>
      <c r="B722" t="s">
        <v>217</v>
      </c>
      <c r="C722">
        <v>3292.66</v>
      </c>
      <c r="D722" t="s">
        <v>391</v>
      </c>
      <c r="E722">
        <v>5</v>
      </c>
      <c r="F722" t="s">
        <v>400</v>
      </c>
      <c r="G722" t="s">
        <v>403</v>
      </c>
      <c r="H722" t="s">
        <v>406</v>
      </c>
      <c r="I722" t="s">
        <v>409</v>
      </c>
      <c r="J722" t="s">
        <v>522</v>
      </c>
      <c r="K722" t="s">
        <v>582</v>
      </c>
    </row>
    <row r="723" spans="1:11" x14ac:dyDescent="0.35">
      <c r="A723" t="s">
        <v>134</v>
      </c>
      <c r="B723" t="s">
        <v>230</v>
      </c>
      <c r="C723">
        <v>3053.81</v>
      </c>
      <c r="D723" t="s">
        <v>395</v>
      </c>
      <c r="E723">
        <v>3</v>
      </c>
      <c r="F723" t="s">
        <v>397</v>
      </c>
      <c r="G723" t="s">
        <v>403</v>
      </c>
      <c r="H723" t="s">
        <v>404</v>
      </c>
      <c r="I723" t="s">
        <v>410</v>
      </c>
      <c r="J723" t="s">
        <v>522</v>
      </c>
      <c r="K723" t="s">
        <v>583</v>
      </c>
    </row>
    <row r="724" spans="1:11" x14ac:dyDescent="0.35">
      <c r="A724" t="s">
        <v>101</v>
      </c>
      <c r="B724" t="s">
        <v>329</v>
      </c>
      <c r="C724">
        <v>1108.8900000000001</v>
      </c>
      <c r="D724" t="s">
        <v>392</v>
      </c>
      <c r="E724">
        <v>4</v>
      </c>
      <c r="F724" t="s">
        <v>397</v>
      </c>
      <c r="G724" t="s">
        <v>402</v>
      </c>
      <c r="H724" t="s">
        <v>404</v>
      </c>
      <c r="I724" t="s">
        <v>410</v>
      </c>
      <c r="J724" t="s">
        <v>522</v>
      </c>
      <c r="K724" t="s">
        <v>582</v>
      </c>
    </row>
    <row r="725" spans="1:11" x14ac:dyDescent="0.35">
      <c r="A725" t="s">
        <v>24</v>
      </c>
      <c r="B725" t="s">
        <v>366</v>
      </c>
      <c r="C725">
        <v>4460.84</v>
      </c>
      <c r="D725" t="s">
        <v>394</v>
      </c>
      <c r="E725">
        <v>3</v>
      </c>
      <c r="F725" t="s">
        <v>401</v>
      </c>
      <c r="G725" t="s">
        <v>403</v>
      </c>
      <c r="H725" t="s">
        <v>408</v>
      </c>
      <c r="I725" t="s">
        <v>409</v>
      </c>
      <c r="J725" t="s">
        <v>516</v>
      </c>
      <c r="K725" t="s">
        <v>583</v>
      </c>
    </row>
    <row r="726" spans="1:11" x14ac:dyDescent="0.35">
      <c r="A726" t="s">
        <v>156</v>
      </c>
      <c r="B726" t="s">
        <v>380</v>
      </c>
      <c r="C726">
        <v>4685.6899999999996</v>
      </c>
      <c r="D726" t="s">
        <v>396</v>
      </c>
      <c r="E726">
        <v>3</v>
      </c>
      <c r="F726" t="s">
        <v>398</v>
      </c>
      <c r="G726" t="s">
        <v>402</v>
      </c>
      <c r="H726" t="s">
        <v>407</v>
      </c>
      <c r="I726" t="s">
        <v>410</v>
      </c>
      <c r="J726" t="s">
        <v>516</v>
      </c>
      <c r="K726" t="s">
        <v>582</v>
      </c>
    </row>
    <row r="727" spans="1:11" x14ac:dyDescent="0.35">
      <c r="A727" t="s">
        <v>170</v>
      </c>
      <c r="B727" t="s">
        <v>292</v>
      </c>
      <c r="C727">
        <v>4810.91</v>
      </c>
      <c r="D727" t="s">
        <v>393</v>
      </c>
      <c r="E727">
        <v>2</v>
      </c>
      <c r="F727" t="s">
        <v>398</v>
      </c>
      <c r="G727" t="s">
        <v>403</v>
      </c>
      <c r="H727" t="s">
        <v>404</v>
      </c>
      <c r="I727" t="s">
        <v>410</v>
      </c>
      <c r="J727" t="s">
        <v>516</v>
      </c>
      <c r="K727" t="s">
        <v>583</v>
      </c>
    </row>
    <row r="728" spans="1:11" x14ac:dyDescent="0.35">
      <c r="A728" t="s">
        <v>112</v>
      </c>
      <c r="B728" t="s">
        <v>325</v>
      </c>
      <c r="C728">
        <v>630.54999999999995</v>
      </c>
      <c r="D728" t="s">
        <v>394</v>
      </c>
      <c r="E728">
        <v>1</v>
      </c>
      <c r="F728" t="s">
        <v>397</v>
      </c>
      <c r="G728" t="s">
        <v>402</v>
      </c>
      <c r="H728" t="s">
        <v>407</v>
      </c>
      <c r="I728" t="s">
        <v>410</v>
      </c>
      <c r="J728" t="s">
        <v>516</v>
      </c>
      <c r="K728" t="s">
        <v>583</v>
      </c>
    </row>
    <row r="729" spans="1:11" x14ac:dyDescent="0.35">
      <c r="A729" t="s">
        <v>120</v>
      </c>
      <c r="B729" t="s">
        <v>378</v>
      </c>
      <c r="C729">
        <v>2193.1</v>
      </c>
      <c r="D729" t="s">
        <v>396</v>
      </c>
      <c r="E729">
        <v>1</v>
      </c>
      <c r="F729" t="s">
        <v>397</v>
      </c>
      <c r="G729" t="s">
        <v>402</v>
      </c>
      <c r="H729" t="s">
        <v>406</v>
      </c>
      <c r="I729" t="s">
        <v>410</v>
      </c>
      <c r="J729" t="s">
        <v>546</v>
      </c>
      <c r="K729" t="s">
        <v>583</v>
      </c>
    </row>
    <row r="730" spans="1:11" x14ac:dyDescent="0.35">
      <c r="A730" t="s">
        <v>201</v>
      </c>
      <c r="B730" t="s">
        <v>372</v>
      </c>
      <c r="C730">
        <v>4598.01</v>
      </c>
      <c r="D730" t="s">
        <v>395</v>
      </c>
      <c r="E730">
        <v>3</v>
      </c>
      <c r="F730" t="s">
        <v>398</v>
      </c>
      <c r="G730" t="s">
        <v>402</v>
      </c>
      <c r="H730" t="s">
        <v>405</v>
      </c>
      <c r="I730" t="s">
        <v>410</v>
      </c>
      <c r="J730" t="s">
        <v>546</v>
      </c>
      <c r="K730" t="s">
        <v>583</v>
      </c>
    </row>
    <row r="731" spans="1:11" x14ac:dyDescent="0.35">
      <c r="A731" t="s">
        <v>151</v>
      </c>
      <c r="B731" t="s">
        <v>237</v>
      </c>
      <c r="C731">
        <v>2786.18</v>
      </c>
      <c r="D731" t="s">
        <v>396</v>
      </c>
      <c r="E731">
        <v>4</v>
      </c>
      <c r="F731" t="s">
        <v>400</v>
      </c>
      <c r="G731" t="s">
        <v>402</v>
      </c>
      <c r="H731" t="s">
        <v>405</v>
      </c>
      <c r="I731" t="s">
        <v>409</v>
      </c>
      <c r="J731" t="s">
        <v>546</v>
      </c>
      <c r="K731" t="s">
        <v>583</v>
      </c>
    </row>
    <row r="732" spans="1:11" x14ac:dyDescent="0.35">
      <c r="A732" t="s">
        <v>58</v>
      </c>
      <c r="B732" t="s">
        <v>224</v>
      </c>
      <c r="C732">
        <v>2265.48</v>
      </c>
      <c r="D732" t="s">
        <v>392</v>
      </c>
      <c r="E732">
        <v>3</v>
      </c>
      <c r="F732" t="s">
        <v>398</v>
      </c>
      <c r="G732" t="s">
        <v>402</v>
      </c>
      <c r="H732" t="s">
        <v>405</v>
      </c>
      <c r="I732" t="s">
        <v>410</v>
      </c>
      <c r="J732" t="s">
        <v>546</v>
      </c>
      <c r="K732" t="s">
        <v>582</v>
      </c>
    </row>
    <row r="733" spans="1:11" x14ac:dyDescent="0.35">
      <c r="A733" t="s">
        <v>135</v>
      </c>
      <c r="B733" t="s">
        <v>367</v>
      </c>
      <c r="C733">
        <v>3098.54</v>
      </c>
      <c r="D733" t="s">
        <v>394</v>
      </c>
      <c r="E733">
        <v>2</v>
      </c>
      <c r="F733" t="s">
        <v>399</v>
      </c>
      <c r="G733" t="s">
        <v>403</v>
      </c>
      <c r="H733" t="s">
        <v>404</v>
      </c>
      <c r="I733" t="s">
        <v>410</v>
      </c>
      <c r="J733" t="s">
        <v>517</v>
      </c>
      <c r="K733" t="s">
        <v>583</v>
      </c>
    </row>
    <row r="734" spans="1:11" x14ac:dyDescent="0.35">
      <c r="A734" t="s">
        <v>145</v>
      </c>
      <c r="B734" t="s">
        <v>363</v>
      </c>
      <c r="C734">
        <v>4912.7700000000004</v>
      </c>
      <c r="D734" t="s">
        <v>393</v>
      </c>
      <c r="E734">
        <v>3</v>
      </c>
      <c r="F734" t="s">
        <v>401</v>
      </c>
      <c r="G734" t="s">
        <v>402</v>
      </c>
      <c r="H734" t="s">
        <v>404</v>
      </c>
      <c r="I734" t="s">
        <v>409</v>
      </c>
      <c r="J734" t="s">
        <v>517</v>
      </c>
      <c r="K734" t="s">
        <v>583</v>
      </c>
    </row>
    <row r="735" spans="1:11" x14ac:dyDescent="0.35">
      <c r="A735" t="s">
        <v>29</v>
      </c>
      <c r="B735" t="s">
        <v>343</v>
      </c>
      <c r="C735">
        <v>4072.95</v>
      </c>
      <c r="D735" t="s">
        <v>396</v>
      </c>
      <c r="E735">
        <v>5</v>
      </c>
      <c r="F735" t="s">
        <v>397</v>
      </c>
      <c r="G735" t="s">
        <v>403</v>
      </c>
      <c r="H735" t="s">
        <v>408</v>
      </c>
      <c r="I735" t="s">
        <v>409</v>
      </c>
      <c r="J735" t="s">
        <v>575</v>
      </c>
      <c r="K735" t="s">
        <v>582</v>
      </c>
    </row>
    <row r="736" spans="1:11" x14ac:dyDescent="0.35">
      <c r="A736" t="s">
        <v>129</v>
      </c>
      <c r="B736" t="s">
        <v>322</v>
      </c>
      <c r="C736">
        <v>630.94000000000005</v>
      </c>
      <c r="D736" t="s">
        <v>394</v>
      </c>
      <c r="E736">
        <v>5</v>
      </c>
      <c r="F736" t="s">
        <v>397</v>
      </c>
      <c r="G736" t="s">
        <v>402</v>
      </c>
      <c r="H736" t="s">
        <v>408</v>
      </c>
      <c r="I736" t="s">
        <v>410</v>
      </c>
      <c r="J736" t="s">
        <v>478</v>
      </c>
      <c r="K736" t="s">
        <v>583</v>
      </c>
    </row>
    <row r="737" spans="1:11" x14ac:dyDescent="0.35">
      <c r="A737" t="s">
        <v>138</v>
      </c>
      <c r="B737" t="s">
        <v>230</v>
      </c>
      <c r="C737">
        <v>3299.16</v>
      </c>
      <c r="D737" t="s">
        <v>393</v>
      </c>
      <c r="E737">
        <v>2</v>
      </c>
      <c r="F737" t="s">
        <v>397</v>
      </c>
      <c r="G737" t="s">
        <v>402</v>
      </c>
      <c r="H737" t="s">
        <v>406</v>
      </c>
      <c r="I737" t="s">
        <v>410</v>
      </c>
      <c r="J737" t="s">
        <v>478</v>
      </c>
      <c r="K737" t="s">
        <v>583</v>
      </c>
    </row>
    <row r="738" spans="1:11" x14ac:dyDescent="0.35">
      <c r="A738" t="s">
        <v>185</v>
      </c>
      <c r="B738" t="s">
        <v>236</v>
      </c>
      <c r="C738">
        <v>4969.5600000000004</v>
      </c>
      <c r="D738" t="s">
        <v>392</v>
      </c>
      <c r="E738">
        <v>2</v>
      </c>
      <c r="F738" t="s">
        <v>397</v>
      </c>
      <c r="G738" t="s">
        <v>402</v>
      </c>
      <c r="H738" t="s">
        <v>405</v>
      </c>
      <c r="I738" t="s">
        <v>409</v>
      </c>
      <c r="J738" t="s">
        <v>478</v>
      </c>
      <c r="K738" t="s">
        <v>583</v>
      </c>
    </row>
    <row r="739" spans="1:11" x14ac:dyDescent="0.35">
      <c r="A739" t="s">
        <v>173</v>
      </c>
      <c r="B739" t="s">
        <v>315</v>
      </c>
      <c r="C739">
        <v>4751.8599999999997</v>
      </c>
      <c r="D739" t="s">
        <v>394</v>
      </c>
      <c r="E739">
        <v>2</v>
      </c>
      <c r="F739" t="s">
        <v>400</v>
      </c>
      <c r="G739" t="s">
        <v>402</v>
      </c>
      <c r="H739" t="s">
        <v>404</v>
      </c>
      <c r="I739" t="s">
        <v>410</v>
      </c>
      <c r="J739" t="s">
        <v>524</v>
      </c>
      <c r="K739" t="s">
        <v>582</v>
      </c>
    </row>
    <row r="740" spans="1:11" x14ac:dyDescent="0.35">
      <c r="A740" t="s">
        <v>194</v>
      </c>
      <c r="B740" t="s">
        <v>310</v>
      </c>
      <c r="C740">
        <v>2447.4499999999998</v>
      </c>
      <c r="D740" t="s">
        <v>396</v>
      </c>
      <c r="E740">
        <v>4</v>
      </c>
      <c r="F740" t="s">
        <v>398</v>
      </c>
      <c r="G740" t="s">
        <v>402</v>
      </c>
      <c r="H740" t="s">
        <v>404</v>
      </c>
      <c r="I740" t="s">
        <v>410</v>
      </c>
      <c r="J740" t="s">
        <v>524</v>
      </c>
      <c r="K740" t="s">
        <v>582</v>
      </c>
    </row>
    <row r="741" spans="1:11" x14ac:dyDescent="0.35">
      <c r="A741" t="s">
        <v>180</v>
      </c>
      <c r="B741" t="s">
        <v>329</v>
      </c>
      <c r="C741">
        <v>2725.96</v>
      </c>
      <c r="D741" t="s">
        <v>393</v>
      </c>
      <c r="E741">
        <v>3</v>
      </c>
      <c r="F741" t="s">
        <v>399</v>
      </c>
      <c r="G741" t="s">
        <v>402</v>
      </c>
      <c r="H741" t="s">
        <v>404</v>
      </c>
      <c r="I741" t="s">
        <v>409</v>
      </c>
      <c r="J741" t="s">
        <v>524</v>
      </c>
      <c r="K741" t="s">
        <v>583</v>
      </c>
    </row>
    <row r="742" spans="1:11" x14ac:dyDescent="0.35">
      <c r="A742" t="s">
        <v>129</v>
      </c>
      <c r="B742" t="s">
        <v>294</v>
      </c>
      <c r="C742">
        <v>1422.33</v>
      </c>
      <c r="D742" t="s">
        <v>392</v>
      </c>
      <c r="E742">
        <v>1</v>
      </c>
      <c r="F742" t="s">
        <v>399</v>
      </c>
      <c r="G742" t="s">
        <v>403</v>
      </c>
      <c r="H742" t="s">
        <v>405</v>
      </c>
      <c r="I742" t="s">
        <v>410</v>
      </c>
      <c r="J742" t="s">
        <v>524</v>
      </c>
      <c r="K742" t="s">
        <v>583</v>
      </c>
    </row>
    <row r="743" spans="1:11" x14ac:dyDescent="0.35">
      <c r="A743" t="s">
        <v>55</v>
      </c>
      <c r="B743" t="s">
        <v>254</v>
      </c>
      <c r="C743">
        <v>1935.96</v>
      </c>
      <c r="D743" t="s">
        <v>394</v>
      </c>
      <c r="E743">
        <v>5</v>
      </c>
      <c r="F743" t="s">
        <v>399</v>
      </c>
      <c r="G743" t="s">
        <v>402</v>
      </c>
      <c r="H743" t="s">
        <v>408</v>
      </c>
      <c r="I743" t="s">
        <v>410</v>
      </c>
      <c r="J743" t="s">
        <v>433</v>
      </c>
      <c r="K743" t="s">
        <v>583</v>
      </c>
    </row>
    <row r="744" spans="1:11" x14ac:dyDescent="0.35">
      <c r="A744" t="s">
        <v>63</v>
      </c>
      <c r="B744" t="s">
        <v>259</v>
      </c>
      <c r="C744">
        <v>1304.25</v>
      </c>
      <c r="D744" t="s">
        <v>393</v>
      </c>
      <c r="E744">
        <v>1</v>
      </c>
      <c r="F744" t="s">
        <v>399</v>
      </c>
      <c r="G744" t="s">
        <v>403</v>
      </c>
      <c r="H744" t="s">
        <v>408</v>
      </c>
      <c r="I744" t="s">
        <v>409</v>
      </c>
      <c r="J744" t="s">
        <v>433</v>
      </c>
      <c r="K744" t="s">
        <v>583</v>
      </c>
    </row>
    <row r="745" spans="1:11" x14ac:dyDescent="0.35">
      <c r="A745" t="s">
        <v>62</v>
      </c>
      <c r="B745" t="s">
        <v>250</v>
      </c>
      <c r="C745">
        <v>138.18</v>
      </c>
      <c r="D745" t="s">
        <v>393</v>
      </c>
      <c r="E745">
        <v>4</v>
      </c>
      <c r="F745" t="s">
        <v>399</v>
      </c>
      <c r="G745" t="s">
        <v>402</v>
      </c>
      <c r="H745" t="s">
        <v>405</v>
      </c>
      <c r="I745" t="s">
        <v>409</v>
      </c>
      <c r="J745" t="s">
        <v>433</v>
      </c>
      <c r="K745" t="s">
        <v>583</v>
      </c>
    </row>
    <row r="746" spans="1:11" x14ac:dyDescent="0.35">
      <c r="A746" t="s">
        <v>82</v>
      </c>
      <c r="B746" t="s">
        <v>287</v>
      </c>
      <c r="C746">
        <v>1074.77</v>
      </c>
      <c r="D746" t="s">
        <v>393</v>
      </c>
      <c r="E746">
        <v>1</v>
      </c>
      <c r="F746" t="s">
        <v>397</v>
      </c>
      <c r="G746" t="s">
        <v>403</v>
      </c>
      <c r="H746" t="s">
        <v>405</v>
      </c>
      <c r="I746" t="s">
        <v>410</v>
      </c>
      <c r="J746" t="s">
        <v>433</v>
      </c>
      <c r="K746" t="s">
        <v>583</v>
      </c>
    </row>
    <row r="747" spans="1:11" x14ac:dyDescent="0.35">
      <c r="A747" t="s">
        <v>132</v>
      </c>
      <c r="B747" t="s">
        <v>228</v>
      </c>
      <c r="C747">
        <v>1976.58</v>
      </c>
      <c r="D747" t="s">
        <v>396</v>
      </c>
      <c r="E747">
        <v>1</v>
      </c>
      <c r="F747" t="s">
        <v>397</v>
      </c>
      <c r="G747" t="s">
        <v>402</v>
      </c>
      <c r="H747" t="s">
        <v>407</v>
      </c>
      <c r="I747" t="s">
        <v>409</v>
      </c>
      <c r="J747" t="s">
        <v>480</v>
      </c>
      <c r="K747" t="s">
        <v>583</v>
      </c>
    </row>
    <row r="748" spans="1:11" x14ac:dyDescent="0.35">
      <c r="A748" t="s">
        <v>156</v>
      </c>
      <c r="B748" t="s">
        <v>377</v>
      </c>
      <c r="C748">
        <v>3258.88</v>
      </c>
      <c r="D748" t="s">
        <v>394</v>
      </c>
      <c r="E748">
        <v>3</v>
      </c>
      <c r="F748" t="s">
        <v>401</v>
      </c>
      <c r="G748" t="s">
        <v>403</v>
      </c>
      <c r="H748" t="s">
        <v>405</v>
      </c>
      <c r="I748" t="s">
        <v>410</v>
      </c>
      <c r="J748" t="s">
        <v>480</v>
      </c>
      <c r="K748" t="s">
        <v>583</v>
      </c>
    </row>
    <row r="749" spans="1:11" x14ac:dyDescent="0.35">
      <c r="A749" t="s">
        <v>161</v>
      </c>
      <c r="B749" t="s">
        <v>252</v>
      </c>
      <c r="C749">
        <v>3575.54</v>
      </c>
      <c r="D749" t="s">
        <v>392</v>
      </c>
      <c r="E749">
        <v>3</v>
      </c>
      <c r="F749" t="s">
        <v>398</v>
      </c>
      <c r="G749" t="s">
        <v>403</v>
      </c>
      <c r="H749" t="s">
        <v>408</v>
      </c>
      <c r="I749" t="s">
        <v>409</v>
      </c>
      <c r="J749" t="s">
        <v>480</v>
      </c>
      <c r="K749" t="s">
        <v>583</v>
      </c>
    </row>
    <row r="750" spans="1:11" x14ac:dyDescent="0.35">
      <c r="A750" t="s">
        <v>161</v>
      </c>
      <c r="B750" t="s">
        <v>390</v>
      </c>
      <c r="C750">
        <v>2948.31</v>
      </c>
      <c r="D750" t="s">
        <v>394</v>
      </c>
      <c r="E750">
        <v>3</v>
      </c>
      <c r="F750" t="s">
        <v>400</v>
      </c>
      <c r="G750" t="s">
        <v>403</v>
      </c>
      <c r="H750" t="s">
        <v>404</v>
      </c>
      <c r="I750" t="s">
        <v>409</v>
      </c>
      <c r="J750" t="s">
        <v>480</v>
      </c>
      <c r="K750" t="s">
        <v>582</v>
      </c>
    </row>
    <row r="751" spans="1:11" x14ac:dyDescent="0.35">
      <c r="A751" t="s">
        <v>111</v>
      </c>
      <c r="B751" t="s">
        <v>265</v>
      </c>
      <c r="C751">
        <v>2238.73</v>
      </c>
      <c r="D751" t="s">
        <v>394</v>
      </c>
      <c r="E751">
        <v>5</v>
      </c>
      <c r="F751" t="s">
        <v>397</v>
      </c>
      <c r="G751" t="s">
        <v>403</v>
      </c>
      <c r="H751" t="s">
        <v>404</v>
      </c>
      <c r="I751" t="s">
        <v>410</v>
      </c>
      <c r="J751" t="s">
        <v>523</v>
      </c>
      <c r="K751" t="s">
        <v>582</v>
      </c>
    </row>
    <row r="752" spans="1:11" x14ac:dyDescent="0.35">
      <c r="A752" t="s">
        <v>145</v>
      </c>
      <c r="B752" t="s">
        <v>322</v>
      </c>
      <c r="C752">
        <v>4629.71</v>
      </c>
      <c r="D752" t="s">
        <v>391</v>
      </c>
      <c r="E752">
        <v>2</v>
      </c>
      <c r="F752" t="s">
        <v>400</v>
      </c>
      <c r="G752" t="s">
        <v>403</v>
      </c>
      <c r="H752" t="s">
        <v>405</v>
      </c>
      <c r="I752" t="s">
        <v>410</v>
      </c>
      <c r="J752" t="s">
        <v>523</v>
      </c>
      <c r="K752" t="s">
        <v>583</v>
      </c>
    </row>
    <row r="753" spans="1:11" x14ac:dyDescent="0.35">
      <c r="A753" t="s">
        <v>77</v>
      </c>
      <c r="B753" t="s">
        <v>329</v>
      </c>
      <c r="C753">
        <v>3484.26</v>
      </c>
      <c r="D753" t="s">
        <v>396</v>
      </c>
      <c r="E753">
        <v>4</v>
      </c>
      <c r="F753" t="s">
        <v>401</v>
      </c>
      <c r="G753" t="s">
        <v>403</v>
      </c>
      <c r="H753" t="s">
        <v>406</v>
      </c>
      <c r="I753" t="s">
        <v>410</v>
      </c>
      <c r="J753" t="s">
        <v>523</v>
      </c>
      <c r="K753" t="s">
        <v>583</v>
      </c>
    </row>
    <row r="754" spans="1:11" x14ac:dyDescent="0.35">
      <c r="A754" t="s">
        <v>178</v>
      </c>
      <c r="B754" t="s">
        <v>310</v>
      </c>
      <c r="C754">
        <v>3369.86</v>
      </c>
      <c r="D754" t="s">
        <v>392</v>
      </c>
      <c r="E754">
        <v>3</v>
      </c>
      <c r="F754" t="s">
        <v>401</v>
      </c>
      <c r="G754" t="s">
        <v>403</v>
      </c>
      <c r="H754" t="s">
        <v>407</v>
      </c>
      <c r="I754" t="s">
        <v>410</v>
      </c>
      <c r="J754" t="s">
        <v>538</v>
      </c>
      <c r="K754" t="s">
        <v>583</v>
      </c>
    </row>
    <row r="755" spans="1:11" x14ac:dyDescent="0.35">
      <c r="A755" t="s">
        <v>108</v>
      </c>
      <c r="B755" t="s">
        <v>370</v>
      </c>
      <c r="C755">
        <v>3904.98</v>
      </c>
      <c r="D755" t="s">
        <v>391</v>
      </c>
      <c r="E755">
        <v>3</v>
      </c>
      <c r="F755" t="s">
        <v>399</v>
      </c>
      <c r="G755" t="s">
        <v>402</v>
      </c>
      <c r="H755" t="s">
        <v>408</v>
      </c>
      <c r="I755" t="s">
        <v>409</v>
      </c>
      <c r="J755" t="s">
        <v>565</v>
      </c>
      <c r="K755" t="s">
        <v>582</v>
      </c>
    </row>
    <row r="756" spans="1:11" x14ac:dyDescent="0.35">
      <c r="A756" t="s">
        <v>52</v>
      </c>
      <c r="B756" t="s">
        <v>246</v>
      </c>
      <c r="C756">
        <v>3228.46</v>
      </c>
      <c r="D756" t="s">
        <v>396</v>
      </c>
      <c r="E756">
        <v>4</v>
      </c>
      <c r="F756" t="s">
        <v>399</v>
      </c>
      <c r="G756" t="s">
        <v>403</v>
      </c>
      <c r="H756" t="s">
        <v>407</v>
      </c>
      <c r="I756" t="s">
        <v>410</v>
      </c>
      <c r="J756" t="s">
        <v>565</v>
      </c>
      <c r="K756" t="s">
        <v>582</v>
      </c>
    </row>
    <row r="757" spans="1:11" x14ac:dyDescent="0.35">
      <c r="A757" t="s">
        <v>105</v>
      </c>
      <c r="B757" t="s">
        <v>234</v>
      </c>
      <c r="C757">
        <v>932.57</v>
      </c>
      <c r="D757" t="s">
        <v>396</v>
      </c>
      <c r="E757">
        <v>3</v>
      </c>
      <c r="F757" t="s">
        <v>397</v>
      </c>
      <c r="G757" t="s">
        <v>402</v>
      </c>
      <c r="H757" t="s">
        <v>408</v>
      </c>
      <c r="I757" t="s">
        <v>409</v>
      </c>
      <c r="J757" t="s">
        <v>565</v>
      </c>
      <c r="K757" t="s">
        <v>582</v>
      </c>
    </row>
    <row r="758" spans="1:11" x14ac:dyDescent="0.35">
      <c r="A758" t="s">
        <v>69</v>
      </c>
      <c r="B758" t="s">
        <v>298</v>
      </c>
      <c r="C758">
        <v>3683.15</v>
      </c>
      <c r="D758" t="s">
        <v>396</v>
      </c>
      <c r="E758">
        <v>1</v>
      </c>
      <c r="F758" t="s">
        <v>401</v>
      </c>
      <c r="G758" t="s">
        <v>402</v>
      </c>
      <c r="H758" t="s">
        <v>407</v>
      </c>
      <c r="I758" t="s">
        <v>410</v>
      </c>
      <c r="J758" t="s">
        <v>460</v>
      </c>
      <c r="K758" t="s">
        <v>583</v>
      </c>
    </row>
    <row r="759" spans="1:11" x14ac:dyDescent="0.35">
      <c r="A759" t="s">
        <v>23</v>
      </c>
      <c r="B759" t="s">
        <v>234</v>
      </c>
      <c r="C759">
        <v>2565.5700000000002</v>
      </c>
      <c r="D759" t="s">
        <v>394</v>
      </c>
      <c r="E759">
        <v>3</v>
      </c>
      <c r="F759" t="s">
        <v>400</v>
      </c>
      <c r="G759" t="s">
        <v>402</v>
      </c>
      <c r="H759" t="s">
        <v>407</v>
      </c>
      <c r="I759" t="s">
        <v>409</v>
      </c>
      <c r="J759" t="s">
        <v>460</v>
      </c>
      <c r="K759" t="s">
        <v>582</v>
      </c>
    </row>
    <row r="760" spans="1:11" x14ac:dyDescent="0.35">
      <c r="A760" t="s">
        <v>57</v>
      </c>
      <c r="B760" t="s">
        <v>378</v>
      </c>
      <c r="C760">
        <v>2747.88</v>
      </c>
      <c r="D760" t="s">
        <v>392</v>
      </c>
      <c r="E760">
        <v>2</v>
      </c>
      <c r="F760" t="s">
        <v>400</v>
      </c>
      <c r="G760" t="s">
        <v>402</v>
      </c>
      <c r="H760" t="s">
        <v>408</v>
      </c>
      <c r="I760" t="s">
        <v>409</v>
      </c>
      <c r="J760" t="s">
        <v>460</v>
      </c>
      <c r="K760" t="s">
        <v>582</v>
      </c>
    </row>
    <row r="761" spans="1:11" x14ac:dyDescent="0.35">
      <c r="A761" t="s">
        <v>165</v>
      </c>
      <c r="B761" t="s">
        <v>306</v>
      </c>
      <c r="C761">
        <v>1871.84</v>
      </c>
      <c r="D761" t="s">
        <v>396</v>
      </c>
      <c r="E761">
        <v>2</v>
      </c>
      <c r="F761" t="s">
        <v>398</v>
      </c>
      <c r="G761" t="s">
        <v>402</v>
      </c>
      <c r="H761" t="s">
        <v>406</v>
      </c>
      <c r="I761" t="s">
        <v>409</v>
      </c>
      <c r="J761" t="s">
        <v>513</v>
      </c>
      <c r="K761" t="s">
        <v>583</v>
      </c>
    </row>
    <row r="762" spans="1:11" x14ac:dyDescent="0.35">
      <c r="A762" t="s">
        <v>169</v>
      </c>
      <c r="B762" t="s">
        <v>339</v>
      </c>
      <c r="C762">
        <v>698.56</v>
      </c>
      <c r="D762" t="s">
        <v>394</v>
      </c>
      <c r="E762">
        <v>4</v>
      </c>
      <c r="F762" t="s">
        <v>399</v>
      </c>
      <c r="G762" t="s">
        <v>403</v>
      </c>
      <c r="H762" t="s">
        <v>406</v>
      </c>
      <c r="I762" t="s">
        <v>409</v>
      </c>
      <c r="J762" t="s">
        <v>513</v>
      </c>
      <c r="K762" t="s">
        <v>583</v>
      </c>
    </row>
    <row r="763" spans="1:11" x14ac:dyDescent="0.35">
      <c r="A763" t="s">
        <v>106</v>
      </c>
      <c r="B763" t="s">
        <v>253</v>
      </c>
      <c r="C763">
        <v>780.01</v>
      </c>
      <c r="D763" t="s">
        <v>395</v>
      </c>
      <c r="E763">
        <v>5</v>
      </c>
      <c r="F763" t="s">
        <v>400</v>
      </c>
      <c r="G763" t="s">
        <v>402</v>
      </c>
      <c r="H763" t="s">
        <v>408</v>
      </c>
      <c r="I763" t="s">
        <v>410</v>
      </c>
      <c r="J763" t="s">
        <v>513</v>
      </c>
      <c r="K763" t="s">
        <v>582</v>
      </c>
    </row>
    <row r="764" spans="1:11" x14ac:dyDescent="0.35">
      <c r="A764" t="s">
        <v>175</v>
      </c>
      <c r="B764" t="s">
        <v>240</v>
      </c>
      <c r="C764">
        <v>848.64</v>
      </c>
      <c r="D764" t="s">
        <v>391</v>
      </c>
      <c r="E764">
        <v>1</v>
      </c>
      <c r="F764" t="s">
        <v>398</v>
      </c>
      <c r="G764" t="s">
        <v>403</v>
      </c>
      <c r="H764" t="s">
        <v>408</v>
      </c>
      <c r="I764" t="s">
        <v>410</v>
      </c>
      <c r="J764" t="s">
        <v>513</v>
      </c>
      <c r="K764" t="s">
        <v>582</v>
      </c>
    </row>
    <row r="765" spans="1:11" x14ac:dyDescent="0.35">
      <c r="A765" t="s">
        <v>46</v>
      </c>
      <c r="B765" t="s">
        <v>310</v>
      </c>
      <c r="C765">
        <v>549.24</v>
      </c>
      <c r="D765" t="s">
        <v>391</v>
      </c>
      <c r="E765">
        <v>2</v>
      </c>
      <c r="F765" t="s">
        <v>400</v>
      </c>
      <c r="G765" t="s">
        <v>403</v>
      </c>
      <c r="H765" t="s">
        <v>406</v>
      </c>
      <c r="I765" t="s">
        <v>410</v>
      </c>
      <c r="J765" t="s">
        <v>513</v>
      </c>
      <c r="K765" t="s">
        <v>583</v>
      </c>
    </row>
    <row r="766" spans="1:11" x14ac:dyDescent="0.35">
      <c r="A766" t="s">
        <v>58</v>
      </c>
      <c r="B766" t="s">
        <v>231</v>
      </c>
      <c r="C766">
        <v>1338.88</v>
      </c>
      <c r="D766" t="s">
        <v>391</v>
      </c>
      <c r="E766">
        <v>1</v>
      </c>
      <c r="F766" t="s">
        <v>399</v>
      </c>
      <c r="G766" t="s">
        <v>402</v>
      </c>
      <c r="H766" t="s">
        <v>406</v>
      </c>
      <c r="I766" t="s">
        <v>409</v>
      </c>
      <c r="J766" t="s">
        <v>513</v>
      </c>
      <c r="K766" t="s">
        <v>583</v>
      </c>
    </row>
    <row r="767" spans="1:11" x14ac:dyDescent="0.35">
      <c r="A767" t="s">
        <v>168</v>
      </c>
      <c r="B767" t="s">
        <v>370</v>
      </c>
      <c r="C767">
        <v>2352.12</v>
      </c>
      <c r="D767" t="s">
        <v>396</v>
      </c>
      <c r="E767">
        <v>5</v>
      </c>
      <c r="F767" t="s">
        <v>401</v>
      </c>
      <c r="G767" t="s">
        <v>403</v>
      </c>
      <c r="H767" t="s">
        <v>407</v>
      </c>
      <c r="I767" t="s">
        <v>410</v>
      </c>
      <c r="J767" t="s">
        <v>513</v>
      </c>
      <c r="K767" t="s">
        <v>582</v>
      </c>
    </row>
    <row r="768" spans="1:11" x14ac:dyDescent="0.35">
      <c r="A768" t="s">
        <v>125</v>
      </c>
      <c r="B768" t="s">
        <v>368</v>
      </c>
      <c r="C768">
        <v>1243.68</v>
      </c>
      <c r="D768" t="s">
        <v>395</v>
      </c>
      <c r="E768">
        <v>2</v>
      </c>
      <c r="F768" t="s">
        <v>400</v>
      </c>
      <c r="G768" t="s">
        <v>403</v>
      </c>
      <c r="H768" t="s">
        <v>407</v>
      </c>
      <c r="I768" t="s">
        <v>410</v>
      </c>
      <c r="J768" t="s">
        <v>513</v>
      </c>
      <c r="K768" t="s">
        <v>583</v>
      </c>
    </row>
    <row r="769" spans="1:11" x14ac:dyDescent="0.35">
      <c r="A769" t="s">
        <v>178</v>
      </c>
      <c r="B769" t="s">
        <v>329</v>
      </c>
      <c r="C769">
        <v>163.54</v>
      </c>
      <c r="D769" t="s">
        <v>396</v>
      </c>
      <c r="E769">
        <v>2</v>
      </c>
      <c r="F769" t="s">
        <v>400</v>
      </c>
      <c r="G769" t="s">
        <v>403</v>
      </c>
      <c r="H769" t="s">
        <v>406</v>
      </c>
      <c r="I769" t="s">
        <v>410</v>
      </c>
      <c r="J769" t="s">
        <v>564</v>
      </c>
      <c r="K769" t="s">
        <v>583</v>
      </c>
    </row>
    <row r="770" spans="1:11" x14ac:dyDescent="0.35">
      <c r="A770" t="s">
        <v>177</v>
      </c>
      <c r="B770" t="s">
        <v>274</v>
      </c>
      <c r="C770">
        <v>2353.5100000000002</v>
      </c>
      <c r="D770" t="s">
        <v>391</v>
      </c>
      <c r="E770">
        <v>2</v>
      </c>
      <c r="F770" t="s">
        <v>401</v>
      </c>
      <c r="G770" t="s">
        <v>403</v>
      </c>
      <c r="H770" t="s">
        <v>404</v>
      </c>
      <c r="I770" t="s">
        <v>409</v>
      </c>
      <c r="J770" t="s">
        <v>528</v>
      </c>
      <c r="K770" t="s">
        <v>583</v>
      </c>
    </row>
    <row r="771" spans="1:11" x14ac:dyDescent="0.35">
      <c r="A771" t="s">
        <v>71</v>
      </c>
      <c r="B771" t="s">
        <v>263</v>
      </c>
      <c r="C771">
        <v>1803.79</v>
      </c>
      <c r="D771" t="s">
        <v>392</v>
      </c>
      <c r="E771">
        <v>2</v>
      </c>
      <c r="F771" t="s">
        <v>399</v>
      </c>
      <c r="G771" t="s">
        <v>403</v>
      </c>
      <c r="H771" t="s">
        <v>406</v>
      </c>
      <c r="I771" t="s">
        <v>410</v>
      </c>
      <c r="J771" t="s">
        <v>528</v>
      </c>
      <c r="K771" t="s">
        <v>582</v>
      </c>
    </row>
    <row r="772" spans="1:11" x14ac:dyDescent="0.35">
      <c r="A772" t="s">
        <v>55</v>
      </c>
      <c r="B772" t="s">
        <v>377</v>
      </c>
      <c r="C772">
        <v>1993.94</v>
      </c>
      <c r="D772" t="s">
        <v>391</v>
      </c>
      <c r="E772">
        <v>4</v>
      </c>
      <c r="F772" t="s">
        <v>398</v>
      </c>
      <c r="G772" t="s">
        <v>403</v>
      </c>
      <c r="H772" t="s">
        <v>406</v>
      </c>
      <c r="I772" t="s">
        <v>410</v>
      </c>
      <c r="J772" t="s">
        <v>528</v>
      </c>
      <c r="K772" t="s">
        <v>583</v>
      </c>
    </row>
    <row r="773" spans="1:11" x14ac:dyDescent="0.35">
      <c r="A773" t="s">
        <v>26</v>
      </c>
      <c r="B773" t="s">
        <v>224</v>
      </c>
      <c r="C773">
        <v>432.51</v>
      </c>
      <c r="D773" t="s">
        <v>394</v>
      </c>
      <c r="E773">
        <v>4</v>
      </c>
      <c r="F773" t="s">
        <v>400</v>
      </c>
      <c r="G773" t="s">
        <v>403</v>
      </c>
      <c r="H773" t="s">
        <v>404</v>
      </c>
      <c r="I773" t="s">
        <v>410</v>
      </c>
      <c r="J773" t="s">
        <v>422</v>
      </c>
      <c r="K773" t="s">
        <v>583</v>
      </c>
    </row>
    <row r="774" spans="1:11" x14ac:dyDescent="0.35">
      <c r="A774" t="s">
        <v>110</v>
      </c>
      <c r="B774" t="s">
        <v>309</v>
      </c>
      <c r="C774">
        <v>2361.63</v>
      </c>
      <c r="D774" t="s">
        <v>396</v>
      </c>
      <c r="E774">
        <v>2</v>
      </c>
      <c r="F774" t="s">
        <v>401</v>
      </c>
      <c r="G774" t="s">
        <v>402</v>
      </c>
      <c r="H774" t="s">
        <v>404</v>
      </c>
      <c r="I774" t="s">
        <v>410</v>
      </c>
      <c r="J774" t="s">
        <v>501</v>
      </c>
      <c r="K774" t="s">
        <v>583</v>
      </c>
    </row>
    <row r="775" spans="1:11" x14ac:dyDescent="0.35">
      <c r="A775" t="s">
        <v>183</v>
      </c>
      <c r="B775" t="s">
        <v>365</v>
      </c>
      <c r="C775">
        <v>804.65</v>
      </c>
      <c r="D775" t="s">
        <v>396</v>
      </c>
      <c r="E775">
        <v>4</v>
      </c>
      <c r="F775" t="s">
        <v>401</v>
      </c>
      <c r="G775" t="s">
        <v>402</v>
      </c>
      <c r="H775" t="s">
        <v>405</v>
      </c>
      <c r="I775" t="s">
        <v>410</v>
      </c>
      <c r="J775" t="s">
        <v>501</v>
      </c>
      <c r="K775" t="s">
        <v>583</v>
      </c>
    </row>
    <row r="776" spans="1:11" x14ac:dyDescent="0.35">
      <c r="A776" t="s">
        <v>122</v>
      </c>
      <c r="B776" t="s">
        <v>297</v>
      </c>
      <c r="C776">
        <v>1010.25</v>
      </c>
      <c r="D776" t="s">
        <v>395</v>
      </c>
      <c r="E776">
        <v>4</v>
      </c>
      <c r="F776" t="s">
        <v>398</v>
      </c>
      <c r="G776" t="s">
        <v>402</v>
      </c>
      <c r="H776" t="s">
        <v>407</v>
      </c>
      <c r="I776" t="s">
        <v>410</v>
      </c>
      <c r="J776" t="s">
        <v>501</v>
      </c>
      <c r="K776" t="s">
        <v>583</v>
      </c>
    </row>
    <row r="777" spans="1:11" x14ac:dyDescent="0.35">
      <c r="A777" t="s">
        <v>178</v>
      </c>
      <c r="B777" t="s">
        <v>245</v>
      </c>
      <c r="C777">
        <v>3090.48</v>
      </c>
      <c r="D777" t="s">
        <v>391</v>
      </c>
      <c r="E777">
        <v>1</v>
      </c>
      <c r="F777" t="s">
        <v>401</v>
      </c>
      <c r="G777" t="s">
        <v>403</v>
      </c>
      <c r="H777" t="s">
        <v>404</v>
      </c>
      <c r="I777" t="s">
        <v>410</v>
      </c>
      <c r="J777" t="s">
        <v>501</v>
      </c>
      <c r="K777" t="s">
        <v>583</v>
      </c>
    </row>
    <row r="778" spans="1:11" x14ac:dyDescent="0.35">
      <c r="A778" t="s">
        <v>180</v>
      </c>
      <c r="B778" t="s">
        <v>288</v>
      </c>
      <c r="C778">
        <v>2828.84</v>
      </c>
      <c r="D778" t="s">
        <v>394</v>
      </c>
      <c r="E778">
        <v>5</v>
      </c>
      <c r="F778" t="s">
        <v>397</v>
      </c>
      <c r="G778" t="s">
        <v>402</v>
      </c>
      <c r="H778" t="s">
        <v>408</v>
      </c>
      <c r="I778" t="s">
        <v>410</v>
      </c>
      <c r="J778" t="s">
        <v>501</v>
      </c>
      <c r="K778" t="s">
        <v>582</v>
      </c>
    </row>
    <row r="779" spans="1:11" x14ac:dyDescent="0.35">
      <c r="A779" t="s">
        <v>121</v>
      </c>
      <c r="B779" t="s">
        <v>261</v>
      </c>
      <c r="C779">
        <v>3159.44</v>
      </c>
      <c r="D779" t="s">
        <v>391</v>
      </c>
      <c r="E779">
        <v>5</v>
      </c>
      <c r="F779" t="s">
        <v>397</v>
      </c>
      <c r="G779" t="s">
        <v>402</v>
      </c>
      <c r="H779" t="s">
        <v>407</v>
      </c>
      <c r="I779" t="s">
        <v>410</v>
      </c>
      <c r="J779" t="s">
        <v>471</v>
      </c>
      <c r="K779" t="s">
        <v>583</v>
      </c>
    </row>
    <row r="780" spans="1:11" x14ac:dyDescent="0.35">
      <c r="A780" t="s">
        <v>125</v>
      </c>
      <c r="B780" t="s">
        <v>330</v>
      </c>
      <c r="C780">
        <v>4540.99</v>
      </c>
      <c r="D780" t="s">
        <v>396</v>
      </c>
      <c r="E780">
        <v>4</v>
      </c>
      <c r="F780" t="s">
        <v>397</v>
      </c>
      <c r="G780" t="s">
        <v>402</v>
      </c>
      <c r="H780" t="s">
        <v>405</v>
      </c>
      <c r="I780" t="s">
        <v>410</v>
      </c>
      <c r="J780" t="s">
        <v>471</v>
      </c>
      <c r="K780" t="s">
        <v>583</v>
      </c>
    </row>
    <row r="781" spans="1:11" x14ac:dyDescent="0.35">
      <c r="A781" t="s">
        <v>147</v>
      </c>
      <c r="B781" t="s">
        <v>353</v>
      </c>
      <c r="C781">
        <v>1355.57</v>
      </c>
      <c r="D781" t="s">
        <v>396</v>
      </c>
      <c r="E781">
        <v>3</v>
      </c>
      <c r="F781" t="s">
        <v>398</v>
      </c>
      <c r="G781" t="s">
        <v>402</v>
      </c>
      <c r="H781" t="s">
        <v>405</v>
      </c>
      <c r="I781" t="s">
        <v>410</v>
      </c>
      <c r="J781" t="s">
        <v>471</v>
      </c>
      <c r="K781" t="s">
        <v>582</v>
      </c>
    </row>
    <row r="782" spans="1:11" x14ac:dyDescent="0.35">
      <c r="A782" t="s">
        <v>13</v>
      </c>
      <c r="B782" t="s">
        <v>346</v>
      </c>
      <c r="C782">
        <v>3631.48</v>
      </c>
      <c r="D782" t="s">
        <v>393</v>
      </c>
      <c r="E782">
        <v>3</v>
      </c>
      <c r="F782" t="s">
        <v>400</v>
      </c>
      <c r="G782" t="s">
        <v>403</v>
      </c>
      <c r="H782" t="s">
        <v>406</v>
      </c>
      <c r="I782" t="s">
        <v>409</v>
      </c>
      <c r="J782" t="s">
        <v>471</v>
      </c>
      <c r="K782" t="s">
        <v>582</v>
      </c>
    </row>
    <row r="783" spans="1:11" x14ac:dyDescent="0.35">
      <c r="A783" t="s">
        <v>142</v>
      </c>
      <c r="B783" t="s">
        <v>285</v>
      </c>
      <c r="C783">
        <v>4852.1000000000004</v>
      </c>
      <c r="D783" t="s">
        <v>396</v>
      </c>
      <c r="E783">
        <v>2</v>
      </c>
      <c r="F783" t="s">
        <v>398</v>
      </c>
      <c r="G783" t="s">
        <v>403</v>
      </c>
      <c r="H783" t="s">
        <v>405</v>
      </c>
      <c r="I783" t="s">
        <v>409</v>
      </c>
      <c r="J783" t="s">
        <v>471</v>
      </c>
      <c r="K783" t="s">
        <v>582</v>
      </c>
    </row>
    <row r="784" spans="1:11" x14ac:dyDescent="0.35">
      <c r="A784" t="s">
        <v>36</v>
      </c>
      <c r="B784" t="s">
        <v>232</v>
      </c>
      <c r="C784">
        <v>2036.71</v>
      </c>
      <c r="D784" t="s">
        <v>391</v>
      </c>
      <c r="E784">
        <v>3</v>
      </c>
      <c r="F784" t="s">
        <v>397</v>
      </c>
      <c r="G784" t="s">
        <v>403</v>
      </c>
      <c r="H784" t="s">
        <v>406</v>
      </c>
      <c r="I784" t="s">
        <v>409</v>
      </c>
      <c r="J784" t="s">
        <v>427</v>
      </c>
      <c r="K784" t="s">
        <v>583</v>
      </c>
    </row>
    <row r="785" spans="1:11" x14ac:dyDescent="0.35">
      <c r="A785" t="s">
        <v>18</v>
      </c>
      <c r="B785" t="s">
        <v>243</v>
      </c>
      <c r="C785">
        <v>2723.05</v>
      </c>
      <c r="D785" t="s">
        <v>395</v>
      </c>
      <c r="E785">
        <v>2</v>
      </c>
      <c r="F785" t="s">
        <v>399</v>
      </c>
      <c r="G785" t="s">
        <v>403</v>
      </c>
      <c r="H785" t="s">
        <v>405</v>
      </c>
      <c r="I785" t="s">
        <v>409</v>
      </c>
      <c r="J785" t="s">
        <v>427</v>
      </c>
      <c r="K785" t="s">
        <v>583</v>
      </c>
    </row>
    <row r="786" spans="1:11" x14ac:dyDescent="0.35">
      <c r="A786" t="s">
        <v>61</v>
      </c>
      <c r="B786" t="s">
        <v>270</v>
      </c>
      <c r="C786">
        <v>504.73</v>
      </c>
      <c r="D786" t="s">
        <v>396</v>
      </c>
      <c r="E786">
        <v>2</v>
      </c>
      <c r="F786" t="s">
        <v>401</v>
      </c>
      <c r="G786" t="s">
        <v>403</v>
      </c>
      <c r="H786" t="s">
        <v>406</v>
      </c>
      <c r="I786" t="s">
        <v>409</v>
      </c>
      <c r="J786" t="s">
        <v>427</v>
      </c>
      <c r="K786" t="s">
        <v>582</v>
      </c>
    </row>
    <row r="787" spans="1:11" x14ac:dyDescent="0.35">
      <c r="A787" t="s">
        <v>96</v>
      </c>
      <c r="B787" t="s">
        <v>273</v>
      </c>
      <c r="C787">
        <v>2522.92</v>
      </c>
      <c r="D787" t="s">
        <v>392</v>
      </c>
      <c r="E787">
        <v>2</v>
      </c>
      <c r="F787" t="s">
        <v>398</v>
      </c>
      <c r="G787" t="s">
        <v>403</v>
      </c>
      <c r="H787" t="s">
        <v>406</v>
      </c>
      <c r="I787" t="s">
        <v>410</v>
      </c>
      <c r="J787" t="s">
        <v>551</v>
      </c>
      <c r="K787" t="s">
        <v>583</v>
      </c>
    </row>
    <row r="788" spans="1:11" x14ac:dyDescent="0.35">
      <c r="A788" t="s">
        <v>178</v>
      </c>
      <c r="B788" t="s">
        <v>327</v>
      </c>
      <c r="C788">
        <v>1357.99</v>
      </c>
      <c r="D788" t="s">
        <v>392</v>
      </c>
      <c r="E788">
        <v>5</v>
      </c>
      <c r="F788" t="s">
        <v>399</v>
      </c>
      <c r="G788" t="s">
        <v>403</v>
      </c>
      <c r="H788" t="s">
        <v>408</v>
      </c>
      <c r="I788" t="s">
        <v>410</v>
      </c>
      <c r="J788" t="s">
        <v>551</v>
      </c>
      <c r="K788" t="s">
        <v>583</v>
      </c>
    </row>
    <row r="789" spans="1:11" x14ac:dyDescent="0.35">
      <c r="A789" t="s">
        <v>69</v>
      </c>
      <c r="B789" t="s">
        <v>266</v>
      </c>
      <c r="C789">
        <v>3994.36</v>
      </c>
      <c r="D789" t="s">
        <v>396</v>
      </c>
      <c r="E789">
        <v>1</v>
      </c>
      <c r="F789" t="s">
        <v>401</v>
      </c>
      <c r="G789" t="s">
        <v>403</v>
      </c>
      <c r="H789" t="s">
        <v>404</v>
      </c>
      <c r="I789" t="s">
        <v>410</v>
      </c>
      <c r="J789" t="s">
        <v>439</v>
      </c>
      <c r="K789" t="s">
        <v>583</v>
      </c>
    </row>
    <row r="790" spans="1:11" x14ac:dyDescent="0.35">
      <c r="A790" t="s">
        <v>158</v>
      </c>
      <c r="B790" t="s">
        <v>353</v>
      </c>
      <c r="C790">
        <v>2111.48</v>
      </c>
      <c r="D790" t="s">
        <v>393</v>
      </c>
      <c r="E790">
        <v>3</v>
      </c>
      <c r="F790" t="s">
        <v>397</v>
      </c>
      <c r="G790" t="s">
        <v>403</v>
      </c>
      <c r="H790" t="s">
        <v>406</v>
      </c>
      <c r="I790" t="s">
        <v>409</v>
      </c>
      <c r="J790" t="s">
        <v>439</v>
      </c>
      <c r="K790" t="s">
        <v>583</v>
      </c>
    </row>
    <row r="791" spans="1:11" x14ac:dyDescent="0.35">
      <c r="A791" t="s">
        <v>93</v>
      </c>
      <c r="B791" t="s">
        <v>382</v>
      </c>
      <c r="C791">
        <v>3367.82</v>
      </c>
      <c r="D791" t="s">
        <v>392</v>
      </c>
      <c r="E791">
        <v>3</v>
      </c>
      <c r="F791" t="s">
        <v>397</v>
      </c>
      <c r="G791" t="s">
        <v>402</v>
      </c>
      <c r="H791" t="s">
        <v>405</v>
      </c>
      <c r="I791" t="s">
        <v>409</v>
      </c>
      <c r="J791" t="s">
        <v>439</v>
      </c>
      <c r="K791" t="s">
        <v>583</v>
      </c>
    </row>
    <row r="792" spans="1:11" x14ac:dyDescent="0.35">
      <c r="A792" t="s">
        <v>177</v>
      </c>
      <c r="B792" t="s">
        <v>366</v>
      </c>
      <c r="C792">
        <v>3808.18</v>
      </c>
      <c r="D792" t="s">
        <v>392</v>
      </c>
      <c r="E792">
        <v>5</v>
      </c>
      <c r="F792" t="s">
        <v>398</v>
      </c>
      <c r="G792" t="s">
        <v>402</v>
      </c>
      <c r="H792" t="s">
        <v>408</v>
      </c>
      <c r="I792" t="s">
        <v>410</v>
      </c>
      <c r="J792" t="s">
        <v>439</v>
      </c>
      <c r="K792" t="s">
        <v>583</v>
      </c>
    </row>
    <row r="793" spans="1:11" x14ac:dyDescent="0.35">
      <c r="A793" t="s">
        <v>126</v>
      </c>
      <c r="B793" t="s">
        <v>371</v>
      </c>
      <c r="C793">
        <v>1828.96</v>
      </c>
      <c r="D793" t="s">
        <v>391</v>
      </c>
      <c r="E793">
        <v>2</v>
      </c>
      <c r="F793" t="s">
        <v>397</v>
      </c>
      <c r="G793" t="s">
        <v>402</v>
      </c>
      <c r="H793" t="s">
        <v>408</v>
      </c>
      <c r="I793" t="s">
        <v>409</v>
      </c>
      <c r="J793" t="s">
        <v>439</v>
      </c>
      <c r="K793" t="s">
        <v>583</v>
      </c>
    </row>
    <row r="794" spans="1:11" x14ac:dyDescent="0.35">
      <c r="A794" t="s">
        <v>51</v>
      </c>
      <c r="B794" t="s">
        <v>366</v>
      </c>
      <c r="C794">
        <v>1569.17</v>
      </c>
      <c r="D794" t="s">
        <v>394</v>
      </c>
      <c r="E794">
        <v>1</v>
      </c>
      <c r="F794" t="s">
        <v>397</v>
      </c>
      <c r="G794" t="s">
        <v>403</v>
      </c>
      <c r="H794" t="s">
        <v>407</v>
      </c>
      <c r="I794" t="s">
        <v>410</v>
      </c>
      <c r="J794" t="s">
        <v>533</v>
      </c>
      <c r="K794" t="s">
        <v>583</v>
      </c>
    </row>
    <row r="795" spans="1:11" x14ac:dyDescent="0.35">
      <c r="A795" t="s">
        <v>135</v>
      </c>
      <c r="B795" t="s">
        <v>343</v>
      </c>
      <c r="C795">
        <v>4474.7299999999996</v>
      </c>
      <c r="D795" t="s">
        <v>392</v>
      </c>
      <c r="E795">
        <v>2</v>
      </c>
      <c r="F795" t="s">
        <v>399</v>
      </c>
      <c r="G795" t="s">
        <v>403</v>
      </c>
      <c r="H795" t="s">
        <v>408</v>
      </c>
      <c r="I795" t="s">
        <v>410</v>
      </c>
      <c r="J795" t="s">
        <v>533</v>
      </c>
      <c r="K795" t="s">
        <v>583</v>
      </c>
    </row>
    <row r="796" spans="1:11" x14ac:dyDescent="0.35">
      <c r="A796" t="s">
        <v>81</v>
      </c>
      <c r="B796" t="s">
        <v>383</v>
      </c>
      <c r="C796">
        <v>3877.18</v>
      </c>
      <c r="D796" t="s">
        <v>392</v>
      </c>
      <c r="E796">
        <v>3</v>
      </c>
      <c r="F796" t="s">
        <v>397</v>
      </c>
      <c r="G796" t="s">
        <v>403</v>
      </c>
      <c r="H796" t="s">
        <v>405</v>
      </c>
      <c r="I796" t="s">
        <v>410</v>
      </c>
      <c r="J796" t="s">
        <v>533</v>
      </c>
      <c r="K796" t="s">
        <v>582</v>
      </c>
    </row>
    <row r="797" spans="1:11" x14ac:dyDescent="0.35">
      <c r="A797" t="s">
        <v>150</v>
      </c>
      <c r="B797" t="s">
        <v>299</v>
      </c>
      <c r="C797">
        <v>3448.01</v>
      </c>
      <c r="D797" t="s">
        <v>396</v>
      </c>
      <c r="E797">
        <v>2</v>
      </c>
      <c r="F797" t="s">
        <v>400</v>
      </c>
      <c r="G797" t="s">
        <v>402</v>
      </c>
      <c r="H797" t="s">
        <v>408</v>
      </c>
      <c r="I797" t="s">
        <v>410</v>
      </c>
      <c r="J797" t="s">
        <v>533</v>
      </c>
      <c r="K797" t="s">
        <v>583</v>
      </c>
    </row>
    <row r="798" spans="1:11" x14ac:dyDescent="0.35">
      <c r="A798" t="s">
        <v>28</v>
      </c>
      <c r="B798" t="s">
        <v>280</v>
      </c>
      <c r="C798">
        <v>1015.79</v>
      </c>
      <c r="D798" t="s">
        <v>392</v>
      </c>
      <c r="E798">
        <v>5</v>
      </c>
      <c r="F798" t="s">
        <v>399</v>
      </c>
      <c r="G798" t="s">
        <v>402</v>
      </c>
      <c r="H798" t="s">
        <v>407</v>
      </c>
      <c r="I798" t="s">
        <v>409</v>
      </c>
      <c r="J798" t="s">
        <v>533</v>
      </c>
      <c r="K798" t="s">
        <v>583</v>
      </c>
    </row>
    <row r="799" spans="1:11" x14ac:dyDescent="0.35">
      <c r="A799" t="s">
        <v>176</v>
      </c>
      <c r="B799" t="s">
        <v>239</v>
      </c>
      <c r="C799">
        <v>589.05999999999995</v>
      </c>
      <c r="D799" t="s">
        <v>394</v>
      </c>
      <c r="E799">
        <v>3</v>
      </c>
      <c r="F799" t="s">
        <v>398</v>
      </c>
      <c r="G799" t="s">
        <v>402</v>
      </c>
      <c r="H799" t="s">
        <v>404</v>
      </c>
      <c r="I799" t="s">
        <v>409</v>
      </c>
      <c r="J799" t="s">
        <v>533</v>
      </c>
      <c r="K799" t="s">
        <v>582</v>
      </c>
    </row>
    <row r="800" spans="1:11" x14ac:dyDescent="0.35">
      <c r="A800" t="s">
        <v>93</v>
      </c>
      <c r="B800" t="s">
        <v>212</v>
      </c>
      <c r="C800">
        <v>381.07</v>
      </c>
      <c r="D800" t="s">
        <v>391</v>
      </c>
      <c r="E800">
        <v>4</v>
      </c>
      <c r="F800" t="s">
        <v>401</v>
      </c>
      <c r="G800" t="s">
        <v>403</v>
      </c>
      <c r="H800" t="s">
        <v>404</v>
      </c>
      <c r="I800" t="s">
        <v>409</v>
      </c>
      <c r="J800" t="s">
        <v>533</v>
      </c>
      <c r="K800" t="s">
        <v>582</v>
      </c>
    </row>
    <row r="801" spans="1:11" x14ac:dyDescent="0.35">
      <c r="A801" t="s">
        <v>135</v>
      </c>
      <c r="B801" t="s">
        <v>315</v>
      </c>
      <c r="C801">
        <v>1330.05</v>
      </c>
      <c r="D801" t="s">
        <v>391</v>
      </c>
      <c r="E801">
        <v>3</v>
      </c>
      <c r="F801" t="s">
        <v>401</v>
      </c>
      <c r="G801" t="s">
        <v>403</v>
      </c>
      <c r="H801" t="s">
        <v>406</v>
      </c>
      <c r="I801" t="s">
        <v>410</v>
      </c>
      <c r="J801" t="s">
        <v>482</v>
      </c>
      <c r="K801" t="s">
        <v>583</v>
      </c>
    </row>
    <row r="802" spans="1:11" x14ac:dyDescent="0.35">
      <c r="A802" t="s">
        <v>29</v>
      </c>
      <c r="B802" t="s">
        <v>352</v>
      </c>
      <c r="C802">
        <v>4371.54</v>
      </c>
      <c r="D802" t="s">
        <v>391</v>
      </c>
      <c r="E802">
        <v>2</v>
      </c>
      <c r="F802" t="s">
        <v>397</v>
      </c>
      <c r="G802" t="s">
        <v>402</v>
      </c>
      <c r="H802" t="s">
        <v>404</v>
      </c>
      <c r="I802" t="s">
        <v>410</v>
      </c>
      <c r="J802" t="s">
        <v>482</v>
      </c>
      <c r="K802" t="s">
        <v>582</v>
      </c>
    </row>
    <row r="803" spans="1:11" x14ac:dyDescent="0.35">
      <c r="A803" t="s">
        <v>148</v>
      </c>
      <c r="B803" t="s">
        <v>368</v>
      </c>
      <c r="C803">
        <v>3531.93</v>
      </c>
      <c r="D803" t="s">
        <v>395</v>
      </c>
      <c r="E803">
        <v>4</v>
      </c>
      <c r="F803" t="s">
        <v>397</v>
      </c>
      <c r="G803" t="s">
        <v>403</v>
      </c>
      <c r="H803" t="s">
        <v>408</v>
      </c>
      <c r="I803" t="s">
        <v>410</v>
      </c>
      <c r="J803" t="s">
        <v>482</v>
      </c>
      <c r="K803" t="s">
        <v>583</v>
      </c>
    </row>
    <row r="804" spans="1:11" x14ac:dyDescent="0.35">
      <c r="A804" t="s">
        <v>88</v>
      </c>
      <c r="B804" t="s">
        <v>341</v>
      </c>
      <c r="C804">
        <v>2214.98</v>
      </c>
      <c r="D804" t="s">
        <v>396</v>
      </c>
      <c r="E804">
        <v>2</v>
      </c>
      <c r="F804" t="s">
        <v>397</v>
      </c>
      <c r="G804" t="s">
        <v>403</v>
      </c>
      <c r="H804" t="s">
        <v>408</v>
      </c>
      <c r="I804" t="s">
        <v>409</v>
      </c>
      <c r="J804" t="s">
        <v>491</v>
      </c>
      <c r="K804" t="s">
        <v>583</v>
      </c>
    </row>
    <row r="805" spans="1:11" x14ac:dyDescent="0.35">
      <c r="A805" t="s">
        <v>38</v>
      </c>
      <c r="B805" t="s">
        <v>352</v>
      </c>
      <c r="C805">
        <v>4866.16</v>
      </c>
      <c r="D805" t="s">
        <v>396</v>
      </c>
      <c r="E805">
        <v>4</v>
      </c>
      <c r="F805" t="s">
        <v>401</v>
      </c>
      <c r="G805" t="s">
        <v>403</v>
      </c>
      <c r="H805" t="s">
        <v>406</v>
      </c>
      <c r="I805" t="s">
        <v>409</v>
      </c>
      <c r="J805" t="s">
        <v>491</v>
      </c>
      <c r="K805" t="s">
        <v>583</v>
      </c>
    </row>
    <row r="806" spans="1:11" x14ac:dyDescent="0.35">
      <c r="A806" t="s">
        <v>58</v>
      </c>
      <c r="B806" t="s">
        <v>352</v>
      </c>
      <c r="C806">
        <v>635.48</v>
      </c>
      <c r="D806" t="s">
        <v>391</v>
      </c>
      <c r="E806">
        <v>1</v>
      </c>
      <c r="F806" t="s">
        <v>401</v>
      </c>
      <c r="G806" t="s">
        <v>403</v>
      </c>
      <c r="H806" t="s">
        <v>408</v>
      </c>
      <c r="I806" t="s">
        <v>409</v>
      </c>
      <c r="J806" t="s">
        <v>502</v>
      </c>
      <c r="K806" t="s">
        <v>582</v>
      </c>
    </row>
    <row r="807" spans="1:11" x14ac:dyDescent="0.35">
      <c r="A807" t="s">
        <v>108</v>
      </c>
      <c r="B807" t="s">
        <v>352</v>
      </c>
      <c r="C807">
        <v>197.45</v>
      </c>
      <c r="D807" t="s">
        <v>392</v>
      </c>
      <c r="E807">
        <v>4</v>
      </c>
      <c r="F807" t="s">
        <v>400</v>
      </c>
      <c r="G807" t="s">
        <v>403</v>
      </c>
      <c r="H807" t="s">
        <v>405</v>
      </c>
      <c r="I807" t="s">
        <v>410</v>
      </c>
      <c r="J807" t="s">
        <v>502</v>
      </c>
      <c r="K807" t="s">
        <v>582</v>
      </c>
    </row>
    <row r="808" spans="1:11" x14ac:dyDescent="0.35">
      <c r="A808" t="s">
        <v>45</v>
      </c>
      <c r="B808" t="s">
        <v>245</v>
      </c>
      <c r="C808">
        <v>4753.67</v>
      </c>
      <c r="D808" t="s">
        <v>392</v>
      </c>
      <c r="E808">
        <v>2</v>
      </c>
      <c r="F808" t="s">
        <v>397</v>
      </c>
      <c r="G808" t="s">
        <v>403</v>
      </c>
      <c r="H808" t="s">
        <v>408</v>
      </c>
      <c r="I808" t="s">
        <v>410</v>
      </c>
      <c r="J808" t="s">
        <v>502</v>
      </c>
      <c r="K808" t="s">
        <v>582</v>
      </c>
    </row>
    <row r="809" spans="1:11" x14ac:dyDescent="0.35">
      <c r="A809" t="s">
        <v>114</v>
      </c>
      <c r="B809" t="s">
        <v>343</v>
      </c>
      <c r="C809">
        <v>1907.66</v>
      </c>
      <c r="D809" t="s">
        <v>393</v>
      </c>
      <c r="E809">
        <v>1</v>
      </c>
      <c r="F809" t="s">
        <v>399</v>
      </c>
      <c r="G809" t="s">
        <v>402</v>
      </c>
      <c r="H809" t="s">
        <v>404</v>
      </c>
      <c r="I809" t="s">
        <v>410</v>
      </c>
      <c r="J809" t="s">
        <v>521</v>
      </c>
      <c r="K809" t="s">
        <v>583</v>
      </c>
    </row>
    <row r="810" spans="1:11" x14ac:dyDescent="0.35">
      <c r="A810" t="s">
        <v>20</v>
      </c>
      <c r="B810" t="s">
        <v>367</v>
      </c>
      <c r="C810">
        <v>383.37</v>
      </c>
      <c r="D810" t="s">
        <v>394</v>
      </c>
      <c r="E810">
        <v>2</v>
      </c>
      <c r="F810" t="s">
        <v>397</v>
      </c>
      <c r="G810" t="s">
        <v>403</v>
      </c>
      <c r="H810" t="s">
        <v>406</v>
      </c>
      <c r="I810" t="s">
        <v>410</v>
      </c>
      <c r="J810" t="s">
        <v>521</v>
      </c>
      <c r="K810" t="s">
        <v>582</v>
      </c>
    </row>
    <row r="811" spans="1:11" x14ac:dyDescent="0.35">
      <c r="A811" t="s">
        <v>91</v>
      </c>
      <c r="B811" t="s">
        <v>286</v>
      </c>
      <c r="C811">
        <v>4647.79</v>
      </c>
      <c r="D811" t="s">
        <v>395</v>
      </c>
      <c r="E811">
        <v>4</v>
      </c>
      <c r="F811" t="s">
        <v>397</v>
      </c>
      <c r="G811" t="s">
        <v>402</v>
      </c>
      <c r="H811" t="s">
        <v>404</v>
      </c>
      <c r="I811" t="s">
        <v>409</v>
      </c>
      <c r="J811" t="s">
        <v>453</v>
      </c>
      <c r="K811" t="s">
        <v>582</v>
      </c>
    </row>
    <row r="812" spans="1:11" x14ac:dyDescent="0.35">
      <c r="A812" t="s">
        <v>83</v>
      </c>
      <c r="B812" t="s">
        <v>327</v>
      </c>
      <c r="C812">
        <v>3374.01</v>
      </c>
      <c r="D812" t="s">
        <v>394</v>
      </c>
      <c r="E812">
        <v>5</v>
      </c>
      <c r="F812" t="s">
        <v>401</v>
      </c>
      <c r="G812" t="s">
        <v>402</v>
      </c>
      <c r="H812" t="s">
        <v>406</v>
      </c>
      <c r="I812" t="s">
        <v>409</v>
      </c>
      <c r="J812" t="s">
        <v>453</v>
      </c>
      <c r="K812" t="s">
        <v>583</v>
      </c>
    </row>
    <row r="813" spans="1:11" x14ac:dyDescent="0.35">
      <c r="A813" t="s">
        <v>26</v>
      </c>
      <c r="B813" t="s">
        <v>240</v>
      </c>
      <c r="C813">
        <v>2582.19</v>
      </c>
      <c r="D813" t="s">
        <v>396</v>
      </c>
      <c r="E813">
        <v>1</v>
      </c>
      <c r="F813" t="s">
        <v>398</v>
      </c>
      <c r="G813" t="s">
        <v>403</v>
      </c>
      <c r="H813" t="s">
        <v>407</v>
      </c>
      <c r="I813" t="s">
        <v>409</v>
      </c>
      <c r="J813" t="s">
        <v>559</v>
      </c>
      <c r="K813" t="s">
        <v>583</v>
      </c>
    </row>
    <row r="814" spans="1:11" x14ac:dyDescent="0.35">
      <c r="A814" t="s">
        <v>66</v>
      </c>
      <c r="B814" t="s">
        <v>326</v>
      </c>
      <c r="C814">
        <v>4252.29</v>
      </c>
      <c r="D814" t="s">
        <v>391</v>
      </c>
      <c r="E814">
        <v>5</v>
      </c>
      <c r="F814" t="s">
        <v>398</v>
      </c>
      <c r="G814" t="s">
        <v>402</v>
      </c>
      <c r="H814" t="s">
        <v>408</v>
      </c>
      <c r="I814" t="s">
        <v>409</v>
      </c>
      <c r="J814" t="s">
        <v>559</v>
      </c>
      <c r="K814" t="s">
        <v>583</v>
      </c>
    </row>
    <row r="815" spans="1:11" x14ac:dyDescent="0.35">
      <c r="A815" t="s">
        <v>77</v>
      </c>
      <c r="B815" t="s">
        <v>344</v>
      </c>
      <c r="C815">
        <v>1266.29</v>
      </c>
      <c r="D815" t="s">
        <v>396</v>
      </c>
      <c r="E815">
        <v>2</v>
      </c>
      <c r="F815" t="s">
        <v>401</v>
      </c>
      <c r="G815" t="s">
        <v>402</v>
      </c>
      <c r="H815" t="s">
        <v>406</v>
      </c>
      <c r="I815" t="s">
        <v>409</v>
      </c>
      <c r="J815" t="s">
        <v>577</v>
      </c>
      <c r="K815" t="s">
        <v>582</v>
      </c>
    </row>
    <row r="816" spans="1:11" x14ac:dyDescent="0.35">
      <c r="A816" t="s">
        <v>15</v>
      </c>
      <c r="B816" t="s">
        <v>272</v>
      </c>
      <c r="C816">
        <v>4213.58</v>
      </c>
      <c r="D816" t="s">
        <v>393</v>
      </c>
      <c r="E816">
        <v>2</v>
      </c>
      <c r="F816" t="s">
        <v>397</v>
      </c>
      <c r="G816" t="s">
        <v>403</v>
      </c>
      <c r="H816" t="s">
        <v>404</v>
      </c>
      <c r="I816" t="s">
        <v>409</v>
      </c>
      <c r="J816" t="s">
        <v>441</v>
      </c>
      <c r="K816" t="s">
        <v>583</v>
      </c>
    </row>
    <row r="817" spans="1:11" x14ac:dyDescent="0.35">
      <c r="A817" t="s">
        <v>187</v>
      </c>
      <c r="B817" t="s">
        <v>356</v>
      </c>
      <c r="C817">
        <v>3376.3</v>
      </c>
      <c r="D817" t="s">
        <v>395</v>
      </c>
      <c r="E817">
        <v>3</v>
      </c>
      <c r="F817" t="s">
        <v>397</v>
      </c>
      <c r="G817" t="s">
        <v>402</v>
      </c>
      <c r="H817" t="s">
        <v>405</v>
      </c>
      <c r="I817" t="s">
        <v>409</v>
      </c>
      <c r="J817" t="s">
        <v>441</v>
      </c>
      <c r="K817" t="s">
        <v>583</v>
      </c>
    </row>
    <row r="818" spans="1:11" x14ac:dyDescent="0.35">
      <c r="A818" t="s">
        <v>29</v>
      </c>
      <c r="B818" t="s">
        <v>330</v>
      </c>
      <c r="C818">
        <v>4966.5</v>
      </c>
      <c r="D818" t="s">
        <v>395</v>
      </c>
      <c r="E818">
        <v>4</v>
      </c>
      <c r="F818" t="s">
        <v>400</v>
      </c>
      <c r="G818" t="s">
        <v>402</v>
      </c>
      <c r="H818" t="s">
        <v>406</v>
      </c>
      <c r="I818" t="s">
        <v>409</v>
      </c>
      <c r="J818" t="s">
        <v>505</v>
      </c>
      <c r="K818" t="s">
        <v>583</v>
      </c>
    </row>
    <row r="819" spans="1:11" x14ac:dyDescent="0.35">
      <c r="A819" t="s">
        <v>43</v>
      </c>
      <c r="B819" t="s">
        <v>285</v>
      </c>
      <c r="C819">
        <v>4349.55</v>
      </c>
      <c r="D819" t="s">
        <v>393</v>
      </c>
      <c r="E819">
        <v>1</v>
      </c>
      <c r="F819" t="s">
        <v>399</v>
      </c>
      <c r="G819" t="s">
        <v>402</v>
      </c>
      <c r="H819" t="s">
        <v>408</v>
      </c>
      <c r="I819" t="s">
        <v>410</v>
      </c>
      <c r="J819" t="s">
        <v>505</v>
      </c>
      <c r="K819" t="s">
        <v>583</v>
      </c>
    </row>
    <row r="820" spans="1:11" x14ac:dyDescent="0.35">
      <c r="A820" t="s">
        <v>139</v>
      </c>
      <c r="B820" t="s">
        <v>361</v>
      </c>
      <c r="C820">
        <v>2752.04</v>
      </c>
      <c r="D820" t="s">
        <v>394</v>
      </c>
      <c r="E820">
        <v>1</v>
      </c>
      <c r="F820" t="s">
        <v>399</v>
      </c>
      <c r="G820" t="s">
        <v>402</v>
      </c>
      <c r="H820" t="s">
        <v>404</v>
      </c>
      <c r="I820" t="s">
        <v>409</v>
      </c>
      <c r="J820" t="s">
        <v>505</v>
      </c>
      <c r="K820" t="s">
        <v>582</v>
      </c>
    </row>
    <row r="821" spans="1:11" x14ac:dyDescent="0.35">
      <c r="A821" t="s">
        <v>180</v>
      </c>
      <c r="B821" t="s">
        <v>306</v>
      </c>
      <c r="C821">
        <v>4068.25</v>
      </c>
      <c r="D821" t="s">
        <v>394</v>
      </c>
      <c r="E821">
        <v>3</v>
      </c>
      <c r="F821" t="s">
        <v>398</v>
      </c>
      <c r="G821" t="s">
        <v>402</v>
      </c>
      <c r="H821" t="s">
        <v>404</v>
      </c>
      <c r="I821" t="s">
        <v>409</v>
      </c>
      <c r="J821" t="s">
        <v>556</v>
      </c>
      <c r="K821" t="s">
        <v>582</v>
      </c>
    </row>
    <row r="822" spans="1:11" x14ac:dyDescent="0.35">
      <c r="A822" t="s">
        <v>137</v>
      </c>
      <c r="B822" t="s">
        <v>352</v>
      </c>
      <c r="C822">
        <v>1123.58</v>
      </c>
      <c r="D822" t="s">
        <v>393</v>
      </c>
      <c r="E822">
        <v>1</v>
      </c>
      <c r="F822" t="s">
        <v>401</v>
      </c>
      <c r="G822" t="s">
        <v>403</v>
      </c>
      <c r="H822" t="s">
        <v>405</v>
      </c>
      <c r="I822" t="s">
        <v>410</v>
      </c>
      <c r="J822" t="s">
        <v>556</v>
      </c>
      <c r="K822" t="s">
        <v>582</v>
      </c>
    </row>
    <row r="823" spans="1:11" x14ac:dyDescent="0.35">
      <c r="A823" t="s">
        <v>183</v>
      </c>
      <c r="B823" t="s">
        <v>307</v>
      </c>
      <c r="C823">
        <v>1067.67</v>
      </c>
      <c r="D823" t="s">
        <v>392</v>
      </c>
      <c r="E823">
        <v>5</v>
      </c>
      <c r="F823" t="s">
        <v>397</v>
      </c>
      <c r="G823" t="s">
        <v>402</v>
      </c>
      <c r="H823" t="s">
        <v>408</v>
      </c>
      <c r="I823" t="s">
        <v>409</v>
      </c>
      <c r="J823" t="s">
        <v>556</v>
      </c>
      <c r="K823" t="s">
        <v>582</v>
      </c>
    </row>
    <row r="824" spans="1:11" x14ac:dyDescent="0.35">
      <c r="A824" t="s">
        <v>54</v>
      </c>
      <c r="B824" t="s">
        <v>259</v>
      </c>
      <c r="C824">
        <v>2257.3200000000002</v>
      </c>
      <c r="D824" t="s">
        <v>391</v>
      </c>
      <c r="E824">
        <v>4</v>
      </c>
      <c r="F824" t="s">
        <v>400</v>
      </c>
      <c r="G824" t="s">
        <v>402</v>
      </c>
      <c r="H824" t="s">
        <v>404</v>
      </c>
      <c r="I824" t="s">
        <v>410</v>
      </c>
      <c r="J824" t="s">
        <v>556</v>
      </c>
      <c r="K824" t="s">
        <v>583</v>
      </c>
    </row>
    <row r="825" spans="1:11" x14ac:dyDescent="0.35">
      <c r="A825" t="s">
        <v>46</v>
      </c>
      <c r="B825" t="s">
        <v>278</v>
      </c>
      <c r="C825">
        <v>1030.81</v>
      </c>
      <c r="D825" t="s">
        <v>393</v>
      </c>
      <c r="E825">
        <v>3</v>
      </c>
      <c r="F825" t="s">
        <v>401</v>
      </c>
      <c r="G825" t="s">
        <v>403</v>
      </c>
      <c r="H825" t="s">
        <v>404</v>
      </c>
      <c r="I825" t="s">
        <v>410</v>
      </c>
      <c r="J825" t="s">
        <v>527</v>
      </c>
      <c r="K825" t="s">
        <v>583</v>
      </c>
    </row>
    <row r="826" spans="1:11" x14ac:dyDescent="0.35">
      <c r="A826" t="s">
        <v>70</v>
      </c>
      <c r="B826" t="s">
        <v>285</v>
      </c>
      <c r="C826">
        <v>3092.71</v>
      </c>
      <c r="D826" t="s">
        <v>396</v>
      </c>
      <c r="E826">
        <v>4</v>
      </c>
      <c r="F826" t="s">
        <v>399</v>
      </c>
      <c r="G826" t="s">
        <v>402</v>
      </c>
      <c r="H826" t="s">
        <v>408</v>
      </c>
      <c r="I826" t="s">
        <v>410</v>
      </c>
      <c r="J826" t="s">
        <v>527</v>
      </c>
      <c r="K826" t="s">
        <v>582</v>
      </c>
    </row>
    <row r="827" spans="1:11" x14ac:dyDescent="0.35">
      <c r="A827" t="s">
        <v>15</v>
      </c>
      <c r="B827" t="s">
        <v>214</v>
      </c>
      <c r="C827">
        <v>513.39</v>
      </c>
      <c r="D827" t="s">
        <v>391</v>
      </c>
      <c r="E827">
        <v>1</v>
      </c>
      <c r="F827" t="s">
        <v>399</v>
      </c>
      <c r="G827" t="s">
        <v>403</v>
      </c>
      <c r="H827" t="s">
        <v>405</v>
      </c>
      <c r="I827" t="s">
        <v>409</v>
      </c>
      <c r="J827" t="s">
        <v>415</v>
      </c>
      <c r="K827" t="s">
        <v>582</v>
      </c>
    </row>
    <row r="828" spans="1:11" x14ac:dyDescent="0.35">
      <c r="A828" t="s">
        <v>53</v>
      </c>
      <c r="B828" t="s">
        <v>243</v>
      </c>
      <c r="C828">
        <v>4625.82</v>
      </c>
      <c r="D828" t="s">
        <v>395</v>
      </c>
      <c r="E828">
        <v>2</v>
      </c>
      <c r="F828" t="s">
        <v>401</v>
      </c>
      <c r="G828" t="s">
        <v>402</v>
      </c>
      <c r="H828" t="s">
        <v>405</v>
      </c>
      <c r="I828" t="s">
        <v>410</v>
      </c>
      <c r="J828" t="s">
        <v>415</v>
      </c>
      <c r="K828" t="s">
        <v>583</v>
      </c>
    </row>
    <row r="829" spans="1:11" x14ac:dyDescent="0.35">
      <c r="A829" t="s">
        <v>56</v>
      </c>
      <c r="B829" t="s">
        <v>255</v>
      </c>
      <c r="C829">
        <v>4866.0600000000004</v>
      </c>
      <c r="D829" t="s">
        <v>395</v>
      </c>
      <c r="E829">
        <v>5</v>
      </c>
      <c r="F829" t="s">
        <v>400</v>
      </c>
      <c r="G829" t="s">
        <v>402</v>
      </c>
      <c r="H829" t="s">
        <v>407</v>
      </c>
      <c r="I829" t="s">
        <v>409</v>
      </c>
      <c r="J829" t="s">
        <v>415</v>
      </c>
      <c r="K829" t="s">
        <v>582</v>
      </c>
    </row>
    <row r="830" spans="1:11" x14ac:dyDescent="0.35">
      <c r="A830" t="s">
        <v>65</v>
      </c>
      <c r="B830" t="s">
        <v>265</v>
      </c>
      <c r="C830">
        <v>2148.09</v>
      </c>
      <c r="D830" t="s">
        <v>392</v>
      </c>
      <c r="E830">
        <v>4</v>
      </c>
      <c r="F830" t="s">
        <v>398</v>
      </c>
      <c r="G830" t="s">
        <v>403</v>
      </c>
      <c r="H830" t="s">
        <v>405</v>
      </c>
      <c r="I830" t="s">
        <v>410</v>
      </c>
      <c r="J830" t="s">
        <v>415</v>
      </c>
      <c r="K830" t="s">
        <v>583</v>
      </c>
    </row>
    <row r="831" spans="1:11" x14ac:dyDescent="0.35">
      <c r="A831" t="s">
        <v>24</v>
      </c>
      <c r="B831" t="s">
        <v>356</v>
      </c>
      <c r="C831">
        <v>1055.78</v>
      </c>
      <c r="D831" t="s">
        <v>395</v>
      </c>
      <c r="E831">
        <v>3</v>
      </c>
      <c r="F831" t="s">
        <v>397</v>
      </c>
      <c r="G831" t="s">
        <v>403</v>
      </c>
      <c r="H831" t="s">
        <v>406</v>
      </c>
      <c r="I831" t="s">
        <v>410</v>
      </c>
      <c r="J831" t="s">
        <v>415</v>
      </c>
      <c r="K831" t="s">
        <v>582</v>
      </c>
    </row>
    <row r="832" spans="1:11" x14ac:dyDescent="0.35">
      <c r="A832" t="s">
        <v>135</v>
      </c>
      <c r="B832" t="s">
        <v>241</v>
      </c>
      <c r="C832">
        <v>766.17</v>
      </c>
      <c r="D832" t="s">
        <v>396</v>
      </c>
      <c r="E832">
        <v>4</v>
      </c>
      <c r="F832" t="s">
        <v>400</v>
      </c>
      <c r="G832" t="s">
        <v>402</v>
      </c>
      <c r="H832" t="s">
        <v>406</v>
      </c>
      <c r="I832" t="s">
        <v>410</v>
      </c>
      <c r="J832" t="s">
        <v>415</v>
      </c>
      <c r="K832" t="s">
        <v>583</v>
      </c>
    </row>
    <row r="833" spans="1:11" x14ac:dyDescent="0.35">
      <c r="A833" t="s">
        <v>52</v>
      </c>
      <c r="B833" t="s">
        <v>343</v>
      </c>
      <c r="C833">
        <v>1738.18</v>
      </c>
      <c r="D833" t="s">
        <v>396</v>
      </c>
      <c r="E833">
        <v>4</v>
      </c>
      <c r="F833" t="s">
        <v>397</v>
      </c>
      <c r="G833" t="s">
        <v>403</v>
      </c>
      <c r="H833" t="s">
        <v>404</v>
      </c>
      <c r="I833" t="s">
        <v>410</v>
      </c>
      <c r="J833" t="s">
        <v>566</v>
      </c>
      <c r="K833" t="s">
        <v>582</v>
      </c>
    </row>
    <row r="834" spans="1:11" x14ac:dyDescent="0.35">
      <c r="A834" t="s">
        <v>77</v>
      </c>
      <c r="B834" t="s">
        <v>390</v>
      </c>
      <c r="C834">
        <v>4194.87</v>
      </c>
      <c r="D834" t="s">
        <v>393</v>
      </c>
      <c r="E834">
        <v>5</v>
      </c>
      <c r="F834" t="s">
        <v>399</v>
      </c>
      <c r="G834" t="s">
        <v>402</v>
      </c>
      <c r="H834" t="s">
        <v>406</v>
      </c>
      <c r="I834" t="s">
        <v>410</v>
      </c>
      <c r="J834" t="s">
        <v>566</v>
      </c>
      <c r="K834" t="s">
        <v>582</v>
      </c>
    </row>
    <row r="835" spans="1:11" x14ac:dyDescent="0.35">
      <c r="A835" t="s">
        <v>190</v>
      </c>
      <c r="B835" t="s">
        <v>305</v>
      </c>
      <c r="C835">
        <v>2812.07</v>
      </c>
      <c r="D835" t="s">
        <v>396</v>
      </c>
      <c r="E835">
        <v>5</v>
      </c>
      <c r="F835" t="s">
        <v>401</v>
      </c>
      <c r="G835" t="s">
        <v>403</v>
      </c>
      <c r="H835" t="s">
        <v>404</v>
      </c>
      <c r="I835" t="s">
        <v>410</v>
      </c>
      <c r="J835" t="s">
        <v>547</v>
      </c>
      <c r="K835" t="s">
        <v>582</v>
      </c>
    </row>
    <row r="836" spans="1:11" x14ac:dyDescent="0.35">
      <c r="A836" t="s">
        <v>43</v>
      </c>
      <c r="B836" t="s">
        <v>363</v>
      </c>
      <c r="C836">
        <v>1106.3699999999999</v>
      </c>
      <c r="D836" t="s">
        <v>396</v>
      </c>
      <c r="E836">
        <v>2</v>
      </c>
      <c r="F836" t="s">
        <v>401</v>
      </c>
      <c r="G836" t="s">
        <v>403</v>
      </c>
      <c r="H836" t="s">
        <v>407</v>
      </c>
      <c r="I836" t="s">
        <v>410</v>
      </c>
      <c r="J836" t="s">
        <v>547</v>
      </c>
      <c r="K836" t="s">
        <v>583</v>
      </c>
    </row>
    <row r="837" spans="1:11" x14ac:dyDescent="0.35">
      <c r="A837" t="s">
        <v>83</v>
      </c>
      <c r="B837" t="s">
        <v>310</v>
      </c>
      <c r="C837">
        <v>4740.9399999999996</v>
      </c>
      <c r="D837" t="s">
        <v>396</v>
      </c>
      <c r="E837">
        <v>4</v>
      </c>
      <c r="F837" t="s">
        <v>399</v>
      </c>
      <c r="G837" t="s">
        <v>402</v>
      </c>
      <c r="H837" t="s">
        <v>405</v>
      </c>
      <c r="I837" t="s">
        <v>410</v>
      </c>
      <c r="J837" t="s">
        <v>547</v>
      </c>
      <c r="K837" t="s">
        <v>582</v>
      </c>
    </row>
    <row r="838" spans="1:11" x14ac:dyDescent="0.35">
      <c r="A838" t="s">
        <v>107</v>
      </c>
      <c r="B838" t="s">
        <v>379</v>
      </c>
      <c r="C838">
        <v>4513.43</v>
      </c>
      <c r="D838" t="s">
        <v>396</v>
      </c>
      <c r="E838">
        <v>1</v>
      </c>
      <c r="F838" t="s">
        <v>397</v>
      </c>
      <c r="G838" t="s">
        <v>402</v>
      </c>
      <c r="H838" t="s">
        <v>406</v>
      </c>
      <c r="I838" t="s">
        <v>409</v>
      </c>
      <c r="J838" t="s">
        <v>547</v>
      </c>
      <c r="K838" t="s">
        <v>582</v>
      </c>
    </row>
    <row r="839" spans="1:11" x14ac:dyDescent="0.35">
      <c r="A839" t="s">
        <v>99</v>
      </c>
      <c r="B839" t="s">
        <v>290</v>
      </c>
      <c r="C839">
        <v>1415.35</v>
      </c>
      <c r="D839" t="s">
        <v>395</v>
      </c>
      <c r="E839">
        <v>1</v>
      </c>
      <c r="F839" t="s">
        <v>397</v>
      </c>
      <c r="G839" t="s">
        <v>402</v>
      </c>
      <c r="H839" t="s">
        <v>406</v>
      </c>
      <c r="I839" t="s">
        <v>410</v>
      </c>
      <c r="J839" t="s">
        <v>458</v>
      </c>
      <c r="K839" t="s">
        <v>583</v>
      </c>
    </row>
    <row r="840" spans="1:11" x14ac:dyDescent="0.35">
      <c r="A840" t="s">
        <v>32</v>
      </c>
      <c r="B840" t="s">
        <v>243</v>
      </c>
      <c r="C840">
        <v>2768.98</v>
      </c>
      <c r="D840" t="s">
        <v>395</v>
      </c>
      <c r="E840">
        <v>2</v>
      </c>
      <c r="F840" t="s">
        <v>398</v>
      </c>
      <c r="G840" t="s">
        <v>403</v>
      </c>
      <c r="H840" t="s">
        <v>405</v>
      </c>
      <c r="I840" t="s">
        <v>409</v>
      </c>
      <c r="J840" t="s">
        <v>458</v>
      </c>
      <c r="K840" t="s">
        <v>582</v>
      </c>
    </row>
    <row r="841" spans="1:11" x14ac:dyDescent="0.35">
      <c r="A841" t="s">
        <v>155</v>
      </c>
      <c r="B841" t="s">
        <v>341</v>
      </c>
      <c r="C841">
        <v>2330.5300000000002</v>
      </c>
      <c r="D841" t="s">
        <v>392</v>
      </c>
      <c r="E841">
        <v>2</v>
      </c>
      <c r="F841" t="s">
        <v>397</v>
      </c>
      <c r="G841" t="s">
        <v>402</v>
      </c>
      <c r="H841" t="s">
        <v>408</v>
      </c>
      <c r="I841" t="s">
        <v>410</v>
      </c>
      <c r="J841" t="s">
        <v>458</v>
      </c>
      <c r="K841" t="s">
        <v>583</v>
      </c>
    </row>
    <row r="842" spans="1:11" x14ac:dyDescent="0.35">
      <c r="A842" t="s">
        <v>141</v>
      </c>
      <c r="B842" t="s">
        <v>217</v>
      </c>
      <c r="C842">
        <v>3360.31</v>
      </c>
      <c r="D842" t="s">
        <v>394</v>
      </c>
      <c r="E842">
        <v>4</v>
      </c>
      <c r="F842" t="s">
        <v>398</v>
      </c>
      <c r="G842" t="s">
        <v>403</v>
      </c>
      <c r="H842" t="s">
        <v>406</v>
      </c>
      <c r="I842" t="s">
        <v>410</v>
      </c>
      <c r="J842" t="s">
        <v>458</v>
      </c>
      <c r="K842" t="s">
        <v>582</v>
      </c>
    </row>
    <row r="843" spans="1:11" x14ac:dyDescent="0.35">
      <c r="A843" t="s">
        <v>129</v>
      </c>
      <c r="B843" t="s">
        <v>368</v>
      </c>
      <c r="C843">
        <v>1324.53</v>
      </c>
      <c r="D843" t="s">
        <v>396</v>
      </c>
      <c r="E843">
        <v>4</v>
      </c>
      <c r="F843" t="s">
        <v>398</v>
      </c>
      <c r="G843" t="s">
        <v>402</v>
      </c>
      <c r="H843" t="s">
        <v>404</v>
      </c>
      <c r="I843" t="s">
        <v>409</v>
      </c>
      <c r="J843" t="s">
        <v>560</v>
      </c>
      <c r="K843" t="s">
        <v>583</v>
      </c>
    </row>
    <row r="844" spans="1:11" x14ac:dyDescent="0.35">
      <c r="A844" t="s">
        <v>122</v>
      </c>
      <c r="B844" t="s">
        <v>357</v>
      </c>
      <c r="C844">
        <v>3624.71</v>
      </c>
      <c r="D844" t="s">
        <v>391</v>
      </c>
      <c r="E844">
        <v>3</v>
      </c>
      <c r="F844" t="s">
        <v>398</v>
      </c>
      <c r="G844" t="s">
        <v>402</v>
      </c>
      <c r="H844" t="s">
        <v>405</v>
      </c>
      <c r="I844" t="s">
        <v>409</v>
      </c>
      <c r="J844" t="s">
        <v>560</v>
      </c>
      <c r="K844" t="s">
        <v>583</v>
      </c>
    </row>
    <row r="845" spans="1:11" x14ac:dyDescent="0.35">
      <c r="A845" t="s">
        <v>63</v>
      </c>
      <c r="B845" t="s">
        <v>341</v>
      </c>
      <c r="C845">
        <v>4964.1000000000004</v>
      </c>
      <c r="D845" t="s">
        <v>394</v>
      </c>
      <c r="E845">
        <v>5</v>
      </c>
      <c r="F845" t="s">
        <v>401</v>
      </c>
      <c r="G845" t="s">
        <v>403</v>
      </c>
      <c r="H845" t="s">
        <v>408</v>
      </c>
      <c r="I845" t="s">
        <v>409</v>
      </c>
      <c r="J845" t="s">
        <v>560</v>
      </c>
      <c r="K845" t="s">
        <v>583</v>
      </c>
    </row>
    <row r="846" spans="1:11" x14ac:dyDescent="0.35">
      <c r="A846" t="s">
        <v>126</v>
      </c>
      <c r="B846" t="s">
        <v>339</v>
      </c>
      <c r="C846">
        <v>2966.45</v>
      </c>
      <c r="D846" t="s">
        <v>391</v>
      </c>
      <c r="E846">
        <v>1</v>
      </c>
      <c r="F846" t="s">
        <v>401</v>
      </c>
      <c r="G846" t="s">
        <v>403</v>
      </c>
      <c r="H846" t="s">
        <v>407</v>
      </c>
      <c r="I846" t="s">
        <v>410</v>
      </c>
      <c r="J846" t="s">
        <v>544</v>
      </c>
      <c r="K846" t="s">
        <v>582</v>
      </c>
    </row>
    <row r="847" spans="1:11" x14ac:dyDescent="0.35">
      <c r="A847" t="s">
        <v>15</v>
      </c>
      <c r="B847" t="s">
        <v>273</v>
      </c>
      <c r="C847">
        <v>258.77</v>
      </c>
      <c r="D847" t="s">
        <v>396</v>
      </c>
      <c r="E847">
        <v>1</v>
      </c>
      <c r="F847" t="s">
        <v>400</v>
      </c>
      <c r="G847" t="s">
        <v>402</v>
      </c>
      <c r="H847" t="s">
        <v>404</v>
      </c>
      <c r="I847" t="s">
        <v>410</v>
      </c>
      <c r="J847" t="s">
        <v>544</v>
      </c>
      <c r="K847" t="s">
        <v>583</v>
      </c>
    </row>
    <row r="848" spans="1:11" x14ac:dyDescent="0.35">
      <c r="A848" t="s">
        <v>68</v>
      </c>
      <c r="B848" t="s">
        <v>368</v>
      </c>
      <c r="C848">
        <v>2638.92</v>
      </c>
      <c r="D848" t="s">
        <v>395</v>
      </c>
      <c r="E848">
        <v>1</v>
      </c>
      <c r="F848" t="s">
        <v>397</v>
      </c>
      <c r="G848" t="s">
        <v>403</v>
      </c>
      <c r="H848" t="s">
        <v>405</v>
      </c>
      <c r="I848" t="s">
        <v>410</v>
      </c>
      <c r="J848" t="s">
        <v>544</v>
      </c>
      <c r="K848" t="s">
        <v>582</v>
      </c>
    </row>
    <row r="849" spans="1:11" x14ac:dyDescent="0.35">
      <c r="A849" t="s">
        <v>86</v>
      </c>
      <c r="B849" t="s">
        <v>283</v>
      </c>
      <c r="C849">
        <v>374.6</v>
      </c>
      <c r="D849" t="s">
        <v>395</v>
      </c>
      <c r="E849">
        <v>4</v>
      </c>
      <c r="F849" t="s">
        <v>401</v>
      </c>
      <c r="G849" t="s">
        <v>402</v>
      </c>
      <c r="H849" t="s">
        <v>405</v>
      </c>
      <c r="I849" t="s">
        <v>409</v>
      </c>
      <c r="J849" t="s">
        <v>449</v>
      </c>
      <c r="K849" t="s">
        <v>583</v>
      </c>
    </row>
    <row r="850" spans="1:11" x14ac:dyDescent="0.35">
      <c r="A850" t="s">
        <v>65</v>
      </c>
      <c r="B850" t="s">
        <v>232</v>
      </c>
      <c r="C850">
        <v>1925.02</v>
      </c>
      <c r="D850" t="s">
        <v>391</v>
      </c>
      <c r="E850">
        <v>3</v>
      </c>
      <c r="F850" t="s">
        <v>401</v>
      </c>
      <c r="G850" t="s">
        <v>402</v>
      </c>
      <c r="H850" t="s">
        <v>408</v>
      </c>
      <c r="I850" t="s">
        <v>409</v>
      </c>
      <c r="J850" t="s">
        <v>449</v>
      </c>
      <c r="K850" t="s">
        <v>583</v>
      </c>
    </row>
    <row r="851" spans="1:11" x14ac:dyDescent="0.35">
      <c r="A851" t="s">
        <v>117</v>
      </c>
      <c r="B851" t="s">
        <v>361</v>
      </c>
      <c r="C851">
        <v>1105.96</v>
      </c>
      <c r="D851" t="s">
        <v>396</v>
      </c>
      <c r="E851">
        <v>1</v>
      </c>
      <c r="F851" t="s">
        <v>399</v>
      </c>
      <c r="G851" t="s">
        <v>402</v>
      </c>
      <c r="H851" t="s">
        <v>406</v>
      </c>
      <c r="I851" t="s">
        <v>409</v>
      </c>
      <c r="J851" t="s">
        <v>449</v>
      </c>
      <c r="K851" t="s">
        <v>582</v>
      </c>
    </row>
    <row r="852" spans="1:11" x14ac:dyDescent="0.35">
      <c r="A852" t="s">
        <v>58</v>
      </c>
      <c r="B852" t="s">
        <v>235</v>
      </c>
      <c r="C852">
        <v>2854.26</v>
      </c>
      <c r="D852" t="s">
        <v>392</v>
      </c>
      <c r="E852">
        <v>2</v>
      </c>
      <c r="F852" t="s">
        <v>397</v>
      </c>
      <c r="G852" t="s">
        <v>403</v>
      </c>
      <c r="H852" t="s">
        <v>406</v>
      </c>
      <c r="I852" t="s">
        <v>409</v>
      </c>
      <c r="J852" t="s">
        <v>434</v>
      </c>
      <c r="K852" t="s">
        <v>582</v>
      </c>
    </row>
    <row r="853" spans="1:11" x14ac:dyDescent="0.35">
      <c r="A853" t="s">
        <v>113</v>
      </c>
      <c r="B853" t="s">
        <v>245</v>
      </c>
      <c r="C853">
        <v>4727.66</v>
      </c>
      <c r="D853" t="s">
        <v>392</v>
      </c>
      <c r="E853">
        <v>1</v>
      </c>
      <c r="F853" t="s">
        <v>397</v>
      </c>
      <c r="G853" t="s">
        <v>403</v>
      </c>
      <c r="H853" t="s">
        <v>405</v>
      </c>
      <c r="I853" t="s">
        <v>410</v>
      </c>
      <c r="J853" t="s">
        <v>434</v>
      </c>
      <c r="K853" t="s">
        <v>582</v>
      </c>
    </row>
    <row r="854" spans="1:11" x14ac:dyDescent="0.35">
      <c r="A854" t="s">
        <v>120</v>
      </c>
      <c r="B854" t="s">
        <v>229</v>
      </c>
      <c r="C854">
        <v>4855.5600000000004</v>
      </c>
      <c r="D854" t="s">
        <v>391</v>
      </c>
      <c r="E854">
        <v>5</v>
      </c>
      <c r="F854" t="s">
        <v>397</v>
      </c>
      <c r="G854" t="s">
        <v>403</v>
      </c>
      <c r="H854" t="s">
        <v>406</v>
      </c>
      <c r="I854" t="s">
        <v>410</v>
      </c>
      <c r="J854" t="s">
        <v>470</v>
      </c>
      <c r="K854" t="s">
        <v>583</v>
      </c>
    </row>
    <row r="855" spans="1:11" x14ac:dyDescent="0.35">
      <c r="A855" t="s">
        <v>21</v>
      </c>
      <c r="B855" t="s">
        <v>322</v>
      </c>
      <c r="C855">
        <v>1239.3800000000001</v>
      </c>
      <c r="D855" t="s">
        <v>392</v>
      </c>
      <c r="E855">
        <v>2</v>
      </c>
      <c r="F855" t="s">
        <v>397</v>
      </c>
      <c r="G855" t="s">
        <v>403</v>
      </c>
      <c r="H855" t="s">
        <v>405</v>
      </c>
      <c r="I855" t="s">
        <v>410</v>
      </c>
      <c r="J855" t="s">
        <v>470</v>
      </c>
      <c r="K855" t="s">
        <v>583</v>
      </c>
    </row>
    <row r="856" spans="1:11" x14ac:dyDescent="0.35">
      <c r="A856" t="s">
        <v>90</v>
      </c>
      <c r="B856" t="s">
        <v>286</v>
      </c>
      <c r="C856">
        <v>606.1</v>
      </c>
      <c r="D856" t="s">
        <v>396</v>
      </c>
      <c r="E856">
        <v>4</v>
      </c>
      <c r="F856" t="s">
        <v>399</v>
      </c>
      <c r="G856" t="s">
        <v>402</v>
      </c>
      <c r="H856" t="s">
        <v>404</v>
      </c>
      <c r="I856" t="s">
        <v>409</v>
      </c>
      <c r="J856" t="s">
        <v>470</v>
      </c>
      <c r="K856" t="s">
        <v>582</v>
      </c>
    </row>
    <row r="857" spans="1:11" x14ac:dyDescent="0.35">
      <c r="A857" t="s">
        <v>196</v>
      </c>
      <c r="B857" t="s">
        <v>314</v>
      </c>
      <c r="C857">
        <v>1712.17</v>
      </c>
      <c r="D857" t="s">
        <v>392</v>
      </c>
      <c r="E857">
        <v>3</v>
      </c>
      <c r="F857" t="s">
        <v>401</v>
      </c>
      <c r="G857" t="s">
        <v>403</v>
      </c>
      <c r="H857" t="s">
        <v>407</v>
      </c>
      <c r="I857" t="s">
        <v>410</v>
      </c>
      <c r="J857" t="s">
        <v>470</v>
      </c>
      <c r="K857" t="s">
        <v>582</v>
      </c>
    </row>
    <row r="858" spans="1:11" x14ac:dyDescent="0.35">
      <c r="A858" t="s">
        <v>88</v>
      </c>
      <c r="B858" t="s">
        <v>378</v>
      </c>
      <c r="C858">
        <v>3256.51</v>
      </c>
      <c r="D858" t="s">
        <v>395</v>
      </c>
      <c r="E858">
        <v>5</v>
      </c>
      <c r="F858" t="s">
        <v>400</v>
      </c>
      <c r="G858" t="s">
        <v>402</v>
      </c>
      <c r="H858" t="s">
        <v>406</v>
      </c>
      <c r="I858" t="s">
        <v>409</v>
      </c>
      <c r="J858" t="s">
        <v>470</v>
      </c>
      <c r="K858" t="s">
        <v>582</v>
      </c>
    </row>
    <row r="859" spans="1:11" x14ac:dyDescent="0.35">
      <c r="A859" t="s">
        <v>69</v>
      </c>
      <c r="B859" t="s">
        <v>239</v>
      </c>
      <c r="C859">
        <v>887.77</v>
      </c>
      <c r="D859" t="s">
        <v>395</v>
      </c>
      <c r="E859">
        <v>5</v>
      </c>
      <c r="F859" t="s">
        <v>397</v>
      </c>
      <c r="G859" t="s">
        <v>402</v>
      </c>
      <c r="H859" t="s">
        <v>404</v>
      </c>
      <c r="I859" t="s">
        <v>409</v>
      </c>
      <c r="J859" t="s">
        <v>525</v>
      </c>
      <c r="K859" t="s">
        <v>582</v>
      </c>
    </row>
    <row r="860" spans="1:11" x14ac:dyDescent="0.35">
      <c r="A860" t="s">
        <v>155</v>
      </c>
      <c r="B860" t="s">
        <v>328</v>
      </c>
      <c r="C860">
        <v>877.39</v>
      </c>
      <c r="D860" t="s">
        <v>392</v>
      </c>
      <c r="E860">
        <v>3</v>
      </c>
      <c r="F860" t="s">
        <v>398</v>
      </c>
      <c r="G860" t="s">
        <v>403</v>
      </c>
      <c r="H860" t="s">
        <v>405</v>
      </c>
      <c r="I860" t="s">
        <v>409</v>
      </c>
      <c r="J860" t="s">
        <v>525</v>
      </c>
      <c r="K860" t="s">
        <v>582</v>
      </c>
    </row>
    <row r="861" spans="1:11" x14ac:dyDescent="0.35">
      <c r="A861" t="s">
        <v>91</v>
      </c>
      <c r="B861" t="s">
        <v>330</v>
      </c>
      <c r="C861">
        <v>484.92</v>
      </c>
      <c r="D861" t="s">
        <v>393</v>
      </c>
      <c r="E861">
        <v>2</v>
      </c>
      <c r="F861" t="s">
        <v>400</v>
      </c>
      <c r="G861" t="s">
        <v>403</v>
      </c>
      <c r="H861" t="s">
        <v>404</v>
      </c>
      <c r="I861" t="s">
        <v>410</v>
      </c>
      <c r="J861" t="s">
        <v>525</v>
      </c>
      <c r="K861" t="s">
        <v>582</v>
      </c>
    </row>
    <row r="862" spans="1:11" x14ac:dyDescent="0.35">
      <c r="A862" t="s">
        <v>107</v>
      </c>
      <c r="B862" t="s">
        <v>214</v>
      </c>
      <c r="C862">
        <v>1391.93</v>
      </c>
      <c r="D862" t="s">
        <v>392</v>
      </c>
      <c r="E862">
        <v>4</v>
      </c>
      <c r="F862" t="s">
        <v>398</v>
      </c>
      <c r="G862" t="s">
        <v>402</v>
      </c>
      <c r="H862" t="s">
        <v>405</v>
      </c>
      <c r="I862" t="s">
        <v>410</v>
      </c>
      <c r="J862" t="s">
        <v>509</v>
      </c>
      <c r="K862" t="s">
        <v>583</v>
      </c>
    </row>
    <row r="863" spans="1:11" x14ac:dyDescent="0.35">
      <c r="A863" t="s">
        <v>138</v>
      </c>
      <c r="B863" t="s">
        <v>246</v>
      </c>
      <c r="C863">
        <v>2940.99</v>
      </c>
      <c r="D863" t="s">
        <v>392</v>
      </c>
      <c r="E863">
        <v>3</v>
      </c>
      <c r="F863" t="s">
        <v>397</v>
      </c>
      <c r="G863" t="s">
        <v>403</v>
      </c>
      <c r="H863" t="s">
        <v>404</v>
      </c>
      <c r="I863" t="s">
        <v>410</v>
      </c>
      <c r="J863" t="s">
        <v>509</v>
      </c>
      <c r="K863" t="s">
        <v>583</v>
      </c>
    </row>
    <row r="864" spans="1:11" x14ac:dyDescent="0.35">
      <c r="A864" t="s">
        <v>42</v>
      </c>
      <c r="B864" t="s">
        <v>265</v>
      </c>
      <c r="C864">
        <v>901.4</v>
      </c>
      <c r="D864" t="s">
        <v>395</v>
      </c>
      <c r="E864">
        <v>2</v>
      </c>
      <c r="F864" t="s">
        <v>400</v>
      </c>
      <c r="G864" t="s">
        <v>402</v>
      </c>
      <c r="H864" t="s">
        <v>407</v>
      </c>
      <c r="I864" t="s">
        <v>409</v>
      </c>
      <c r="J864" t="s">
        <v>509</v>
      </c>
      <c r="K864" t="s">
        <v>582</v>
      </c>
    </row>
    <row r="865" spans="1:11" x14ac:dyDescent="0.35">
      <c r="A865" t="s">
        <v>205</v>
      </c>
      <c r="B865" t="s">
        <v>347</v>
      </c>
      <c r="C865">
        <v>4597.4399999999996</v>
      </c>
      <c r="D865" t="s">
        <v>395</v>
      </c>
      <c r="E865">
        <v>1</v>
      </c>
      <c r="F865" t="s">
        <v>401</v>
      </c>
      <c r="G865" t="s">
        <v>402</v>
      </c>
      <c r="H865" t="s">
        <v>406</v>
      </c>
      <c r="I865" t="s">
        <v>410</v>
      </c>
      <c r="J865" t="s">
        <v>579</v>
      </c>
      <c r="K865" t="s">
        <v>582</v>
      </c>
    </row>
    <row r="866" spans="1:11" x14ac:dyDescent="0.35">
      <c r="A866" t="s">
        <v>26</v>
      </c>
      <c r="B866" t="s">
        <v>252</v>
      </c>
      <c r="C866">
        <v>4160.42</v>
      </c>
      <c r="D866" t="s">
        <v>391</v>
      </c>
      <c r="E866">
        <v>5</v>
      </c>
      <c r="F866" t="s">
        <v>401</v>
      </c>
      <c r="G866" t="s">
        <v>402</v>
      </c>
      <c r="H866" t="s">
        <v>406</v>
      </c>
      <c r="I866" t="s">
        <v>410</v>
      </c>
      <c r="J866" t="s">
        <v>432</v>
      </c>
      <c r="K866" t="s">
        <v>583</v>
      </c>
    </row>
    <row r="867" spans="1:11" x14ac:dyDescent="0.35">
      <c r="A867" t="s">
        <v>80</v>
      </c>
      <c r="B867" t="s">
        <v>344</v>
      </c>
      <c r="C867">
        <v>4948.3900000000003</v>
      </c>
      <c r="D867" t="s">
        <v>394</v>
      </c>
      <c r="E867">
        <v>1</v>
      </c>
      <c r="F867" t="s">
        <v>400</v>
      </c>
      <c r="G867" t="s">
        <v>402</v>
      </c>
      <c r="H867" t="s">
        <v>404</v>
      </c>
      <c r="I867" t="s">
        <v>409</v>
      </c>
      <c r="J867" t="s">
        <v>432</v>
      </c>
      <c r="K867" t="s">
        <v>583</v>
      </c>
    </row>
    <row r="868" spans="1:11" x14ac:dyDescent="0.35">
      <c r="A868" t="s">
        <v>21</v>
      </c>
      <c r="B868" t="s">
        <v>315</v>
      </c>
      <c r="C868">
        <v>2411.35</v>
      </c>
      <c r="D868" t="s">
        <v>391</v>
      </c>
      <c r="E868">
        <v>5</v>
      </c>
      <c r="F868" t="s">
        <v>399</v>
      </c>
      <c r="G868" t="s">
        <v>402</v>
      </c>
      <c r="H868" t="s">
        <v>405</v>
      </c>
      <c r="I868" t="s">
        <v>409</v>
      </c>
      <c r="J868" t="s">
        <v>432</v>
      </c>
      <c r="K868" t="s">
        <v>582</v>
      </c>
    </row>
    <row r="869" spans="1:11" x14ac:dyDescent="0.35">
      <c r="A869" t="s">
        <v>61</v>
      </c>
      <c r="B869" t="s">
        <v>379</v>
      </c>
      <c r="C869">
        <v>819.83</v>
      </c>
      <c r="D869" t="s">
        <v>396</v>
      </c>
      <c r="E869">
        <v>1</v>
      </c>
      <c r="F869" t="s">
        <v>398</v>
      </c>
      <c r="G869" t="s">
        <v>402</v>
      </c>
      <c r="H869" t="s">
        <v>405</v>
      </c>
      <c r="I869" t="s">
        <v>409</v>
      </c>
      <c r="J869" t="s">
        <v>432</v>
      </c>
      <c r="K869" t="s">
        <v>582</v>
      </c>
    </row>
    <row r="870" spans="1:11" x14ac:dyDescent="0.35">
      <c r="A870" t="s">
        <v>80</v>
      </c>
      <c r="B870" t="s">
        <v>361</v>
      </c>
      <c r="C870">
        <v>749.57</v>
      </c>
      <c r="D870" t="s">
        <v>395</v>
      </c>
      <c r="E870">
        <v>5</v>
      </c>
      <c r="F870" t="s">
        <v>400</v>
      </c>
      <c r="G870" t="s">
        <v>402</v>
      </c>
      <c r="H870" t="s">
        <v>407</v>
      </c>
      <c r="I870" t="s">
        <v>409</v>
      </c>
      <c r="J870" t="s">
        <v>432</v>
      </c>
      <c r="K870" t="s">
        <v>582</v>
      </c>
    </row>
    <row r="871" spans="1:11" x14ac:dyDescent="0.35">
      <c r="A871" t="s">
        <v>78</v>
      </c>
      <c r="B871" t="s">
        <v>325</v>
      </c>
      <c r="C871">
        <v>4294.5</v>
      </c>
      <c r="D871" t="s">
        <v>396</v>
      </c>
      <c r="E871">
        <v>3</v>
      </c>
      <c r="F871" t="s">
        <v>398</v>
      </c>
      <c r="G871" t="s">
        <v>403</v>
      </c>
      <c r="H871" t="s">
        <v>404</v>
      </c>
      <c r="I871" t="s">
        <v>409</v>
      </c>
      <c r="J871" t="s">
        <v>481</v>
      </c>
      <c r="K871" t="s">
        <v>582</v>
      </c>
    </row>
    <row r="872" spans="1:11" x14ac:dyDescent="0.35">
      <c r="A872" t="s">
        <v>107</v>
      </c>
      <c r="B872" t="s">
        <v>263</v>
      </c>
      <c r="C872">
        <v>200.06</v>
      </c>
      <c r="D872" t="s">
        <v>395</v>
      </c>
      <c r="E872">
        <v>2</v>
      </c>
      <c r="F872" t="s">
        <v>400</v>
      </c>
      <c r="G872" t="s">
        <v>402</v>
      </c>
      <c r="H872" t="s">
        <v>408</v>
      </c>
      <c r="I872" t="s">
        <v>409</v>
      </c>
      <c r="J872" t="s">
        <v>481</v>
      </c>
      <c r="K872" t="s">
        <v>582</v>
      </c>
    </row>
    <row r="873" spans="1:11" x14ac:dyDescent="0.35">
      <c r="A873" t="s">
        <v>176</v>
      </c>
      <c r="B873" t="s">
        <v>303</v>
      </c>
      <c r="C873">
        <v>297.48</v>
      </c>
      <c r="D873" t="s">
        <v>393</v>
      </c>
      <c r="E873">
        <v>5</v>
      </c>
      <c r="F873" t="s">
        <v>398</v>
      </c>
      <c r="G873" t="s">
        <v>403</v>
      </c>
      <c r="H873" t="s">
        <v>407</v>
      </c>
      <c r="I873" t="s">
        <v>410</v>
      </c>
      <c r="J873" t="s">
        <v>481</v>
      </c>
      <c r="K873" t="s">
        <v>582</v>
      </c>
    </row>
    <row r="874" spans="1:11" x14ac:dyDescent="0.35">
      <c r="A874" t="s">
        <v>48</v>
      </c>
      <c r="B874" t="s">
        <v>292</v>
      </c>
      <c r="C874">
        <v>3229.23</v>
      </c>
      <c r="D874" t="s">
        <v>391</v>
      </c>
      <c r="E874">
        <v>2</v>
      </c>
      <c r="F874" t="s">
        <v>399</v>
      </c>
      <c r="G874" t="s">
        <v>402</v>
      </c>
      <c r="H874" t="s">
        <v>404</v>
      </c>
      <c r="I874" t="s">
        <v>409</v>
      </c>
      <c r="J874" t="s">
        <v>481</v>
      </c>
      <c r="K874" t="s">
        <v>582</v>
      </c>
    </row>
    <row r="875" spans="1:11" x14ac:dyDescent="0.35">
      <c r="A875" t="s">
        <v>144</v>
      </c>
      <c r="B875" t="s">
        <v>339</v>
      </c>
      <c r="C875">
        <v>2864.4</v>
      </c>
      <c r="D875" t="s">
        <v>396</v>
      </c>
      <c r="E875">
        <v>5</v>
      </c>
      <c r="F875" t="s">
        <v>401</v>
      </c>
      <c r="G875" t="s">
        <v>402</v>
      </c>
      <c r="H875" t="s">
        <v>407</v>
      </c>
      <c r="I875" t="s">
        <v>409</v>
      </c>
      <c r="J875" t="s">
        <v>488</v>
      </c>
      <c r="K875" t="s">
        <v>582</v>
      </c>
    </row>
    <row r="876" spans="1:11" x14ac:dyDescent="0.35">
      <c r="A876" t="s">
        <v>31</v>
      </c>
      <c r="B876" t="s">
        <v>229</v>
      </c>
      <c r="C876">
        <v>917.4</v>
      </c>
      <c r="D876" t="s">
        <v>395</v>
      </c>
      <c r="E876">
        <v>3</v>
      </c>
      <c r="F876" t="s">
        <v>398</v>
      </c>
      <c r="G876" t="s">
        <v>402</v>
      </c>
      <c r="H876" t="s">
        <v>404</v>
      </c>
      <c r="I876" t="s">
        <v>410</v>
      </c>
      <c r="J876" t="s">
        <v>426</v>
      </c>
      <c r="K876" t="s">
        <v>582</v>
      </c>
    </row>
    <row r="877" spans="1:11" x14ac:dyDescent="0.35">
      <c r="A877" t="s">
        <v>160</v>
      </c>
      <c r="B877" t="s">
        <v>310</v>
      </c>
      <c r="C877">
        <v>1957.49</v>
      </c>
      <c r="D877" t="s">
        <v>391</v>
      </c>
      <c r="E877">
        <v>5</v>
      </c>
      <c r="F877" t="s">
        <v>398</v>
      </c>
      <c r="G877" t="s">
        <v>403</v>
      </c>
      <c r="H877" t="s">
        <v>406</v>
      </c>
      <c r="I877" t="s">
        <v>409</v>
      </c>
      <c r="J877" t="s">
        <v>426</v>
      </c>
      <c r="K877" t="s">
        <v>582</v>
      </c>
    </row>
    <row r="878" spans="1:11" x14ac:dyDescent="0.35">
      <c r="A878" t="s">
        <v>17</v>
      </c>
      <c r="B878" t="s">
        <v>311</v>
      </c>
      <c r="C878">
        <v>1322.71</v>
      </c>
      <c r="D878" t="s">
        <v>392</v>
      </c>
      <c r="E878">
        <v>3</v>
      </c>
      <c r="F878" t="s">
        <v>397</v>
      </c>
      <c r="G878" t="s">
        <v>402</v>
      </c>
      <c r="H878" t="s">
        <v>405</v>
      </c>
      <c r="I878" t="s">
        <v>410</v>
      </c>
      <c r="J878" t="s">
        <v>426</v>
      </c>
      <c r="K878" t="s">
        <v>583</v>
      </c>
    </row>
    <row r="879" spans="1:11" x14ac:dyDescent="0.35">
      <c r="A879" t="s">
        <v>188</v>
      </c>
      <c r="B879" t="s">
        <v>214</v>
      </c>
      <c r="C879">
        <v>2380.1</v>
      </c>
      <c r="D879" t="s">
        <v>394</v>
      </c>
      <c r="E879">
        <v>4</v>
      </c>
      <c r="F879" t="s">
        <v>399</v>
      </c>
      <c r="G879" t="s">
        <v>402</v>
      </c>
      <c r="H879" t="s">
        <v>407</v>
      </c>
      <c r="I879" t="s">
        <v>410</v>
      </c>
      <c r="J879" t="s">
        <v>426</v>
      </c>
      <c r="K879" t="s">
        <v>582</v>
      </c>
    </row>
    <row r="880" spans="1:11" x14ac:dyDescent="0.35">
      <c r="A880" t="s">
        <v>94</v>
      </c>
      <c r="B880" t="s">
        <v>300</v>
      </c>
      <c r="C880">
        <v>3537.63</v>
      </c>
      <c r="D880" t="s">
        <v>395</v>
      </c>
      <c r="E880">
        <v>1</v>
      </c>
      <c r="F880" t="s">
        <v>401</v>
      </c>
      <c r="G880" t="s">
        <v>402</v>
      </c>
      <c r="H880" t="s">
        <v>405</v>
      </c>
      <c r="I880" t="s">
        <v>410</v>
      </c>
      <c r="J880" t="s">
        <v>426</v>
      </c>
      <c r="K880" t="s">
        <v>582</v>
      </c>
    </row>
    <row r="881" spans="1:11" x14ac:dyDescent="0.35">
      <c r="A881" t="s">
        <v>12</v>
      </c>
      <c r="B881" t="s">
        <v>217</v>
      </c>
      <c r="C881">
        <v>1826.55</v>
      </c>
      <c r="D881" t="s">
        <v>392</v>
      </c>
      <c r="E881">
        <v>4</v>
      </c>
      <c r="F881" t="s">
        <v>399</v>
      </c>
      <c r="G881" t="s">
        <v>403</v>
      </c>
      <c r="H881" t="s">
        <v>407</v>
      </c>
      <c r="I881" t="s">
        <v>410</v>
      </c>
      <c r="J881" t="s">
        <v>428</v>
      </c>
      <c r="K881" t="s">
        <v>583</v>
      </c>
    </row>
    <row r="882" spans="1:11" x14ac:dyDescent="0.35">
      <c r="A882" t="s">
        <v>42</v>
      </c>
      <c r="B882" t="s">
        <v>226</v>
      </c>
      <c r="C882">
        <v>243.33</v>
      </c>
      <c r="D882" t="s">
        <v>391</v>
      </c>
      <c r="E882">
        <v>1</v>
      </c>
      <c r="F882" t="s">
        <v>400</v>
      </c>
      <c r="G882" t="s">
        <v>403</v>
      </c>
      <c r="H882" t="s">
        <v>406</v>
      </c>
      <c r="I882" t="s">
        <v>409</v>
      </c>
      <c r="J882" t="s">
        <v>428</v>
      </c>
      <c r="K882" t="s">
        <v>582</v>
      </c>
    </row>
    <row r="883" spans="1:11" x14ac:dyDescent="0.35">
      <c r="A883" t="s">
        <v>160</v>
      </c>
      <c r="B883" t="s">
        <v>261</v>
      </c>
      <c r="C883">
        <v>3528.89</v>
      </c>
      <c r="D883" t="s">
        <v>395</v>
      </c>
      <c r="E883">
        <v>4</v>
      </c>
      <c r="F883" t="s">
        <v>400</v>
      </c>
      <c r="G883" t="s">
        <v>403</v>
      </c>
      <c r="H883" t="s">
        <v>407</v>
      </c>
      <c r="I883" t="s">
        <v>409</v>
      </c>
      <c r="J883" t="s">
        <v>428</v>
      </c>
      <c r="K883" t="s">
        <v>583</v>
      </c>
    </row>
    <row r="884" spans="1:11" x14ac:dyDescent="0.35">
      <c r="A884" t="s">
        <v>27</v>
      </c>
      <c r="B884" t="s">
        <v>253</v>
      </c>
      <c r="C884">
        <v>2374.06</v>
      </c>
      <c r="D884" t="s">
        <v>393</v>
      </c>
      <c r="E884">
        <v>5</v>
      </c>
      <c r="F884" t="s">
        <v>398</v>
      </c>
      <c r="G884" t="s">
        <v>403</v>
      </c>
      <c r="H884" t="s">
        <v>404</v>
      </c>
      <c r="I884" t="s">
        <v>409</v>
      </c>
      <c r="J884" t="s">
        <v>518</v>
      </c>
      <c r="K884" t="s">
        <v>583</v>
      </c>
    </row>
    <row r="885" spans="1:11" x14ac:dyDescent="0.35">
      <c r="A885" t="s">
        <v>180</v>
      </c>
      <c r="B885" t="s">
        <v>307</v>
      </c>
      <c r="C885">
        <v>2820.03</v>
      </c>
      <c r="D885" t="s">
        <v>391</v>
      </c>
      <c r="E885">
        <v>5</v>
      </c>
      <c r="F885" t="s">
        <v>397</v>
      </c>
      <c r="G885" t="s">
        <v>403</v>
      </c>
      <c r="H885" t="s">
        <v>408</v>
      </c>
      <c r="I885" t="s">
        <v>409</v>
      </c>
      <c r="J885" t="s">
        <v>518</v>
      </c>
      <c r="K885" t="s">
        <v>583</v>
      </c>
    </row>
    <row r="886" spans="1:11" x14ac:dyDescent="0.35">
      <c r="A886" t="s">
        <v>28</v>
      </c>
      <c r="B886" t="s">
        <v>226</v>
      </c>
      <c r="C886">
        <v>141.26</v>
      </c>
      <c r="D886" t="s">
        <v>392</v>
      </c>
      <c r="E886">
        <v>4</v>
      </c>
      <c r="F886" t="s">
        <v>398</v>
      </c>
      <c r="G886" t="s">
        <v>403</v>
      </c>
      <c r="H886" t="s">
        <v>406</v>
      </c>
      <c r="I886" t="s">
        <v>409</v>
      </c>
      <c r="J886" t="s">
        <v>423</v>
      </c>
      <c r="K886" t="s">
        <v>582</v>
      </c>
    </row>
    <row r="887" spans="1:11" x14ac:dyDescent="0.35">
      <c r="A887" t="s">
        <v>94</v>
      </c>
      <c r="B887" t="s">
        <v>272</v>
      </c>
      <c r="C887">
        <v>2172.35</v>
      </c>
      <c r="D887" t="s">
        <v>393</v>
      </c>
      <c r="E887">
        <v>5</v>
      </c>
      <c r="F887" t="s">
        <v>401</v>
      </c>
      <c r="G887" t="s">
        <v>403</v>
      </c>
      <c r="H887" t="s">
        <v>404</v>
      </c>
      <c r="I887" t="s">
        <v>409</v>
      </c>
      <c r="J887" t="s">
        <v>423</v>
      </c>
      <c r="K887" t="s">
        <v>583</v>
      </c>
    </row>
    <row r="888" spans="1:11" x14ac:dyDescent="0.35">
      <c r="A888" t="s">
        <v>50</v>
      </c>
      <c r="B888" t="s">
        <v>361</v>
      </c>
      <c r="C888">
        <v>3489.42</v>
      </c>
      <c r="D888" t="s">
        <v>395</v>
      </c>
      <c r="E888">
        <v>3</v>
      </c>
      <c r="F888" t="s">
        <v>399</v>
      </c>
      <c r="G888" t="s">
        <v>402</v>
      </c>
      <c r="H888" t="s">
        <v>405</v>
      </c>
      <c r="I888" t="s">
        <v>409</v>
      </c>
      <c r="J888" t="s">
        <v>423</v>
      </c>
      <c r="K888" t="s">
        <v>582</v>
      </c>
    </row>
    <row r="889" spans="1:11" x14ac:dyDescent="0.35">
      <c r="A889" t="s">
        <v>158</v>
      </c>
      <c r="B889" t="s">
        <v>215</v>
      </c>
      <c r="C889">
        <v>3321.56</v>
      </c>
      <c r="D889" t="s">
        <v>393</v>
      </c>
      <c r="E889">
        <v>5</v>
      </c>
      <c r="F889" t="s">
        <v>399</v>
      </c>
      <c r="G889" t="s">
        <v>402</v>
      </c>
      <c r="H889" t="s">
        <v>408</v>
      </c>
      <c r="I889" t="s">
        <v>409</v>
      </c>
      <c r="J889" t="s">
        <v>423</v>
      </c>
      <c r="K889" t="s">
        <v>583</v>
      </c>
    </row>
    <row r="890" spans="1:11" x14ac:dyDescent="0.35">
      <c r="A890" t="s">
        <v>134</v>
      </c>
      <c r="B890" t="s">
        <v>349</v>
      </c>
      <c r="C890">
        <v>205.49</v>
      </c>
      <c r="D890" t="s">
        <v>393</v>
      </c>
      <c r="E890">
        <v>2</v>
      </c>
      <c r="F890" t="s">
        <v>401</v>
      </c>
      <c r="G890" t="s">
        <v>403</v>
      </c>
      <c r="H890" t="s">
        <v>405</v>
      </c>
      <c r="I890" t="s">
        <v>410</v>
      </c>
      <c r="J890" t="s">
        <v>519</v>
      </c>
      <c r="K890" t="s">
        <v>583</v>
      </c>
    </row>
    <row r="891" spans="1:11" x14ac:dyDescent="0.35">
      <c r="A891" t="s">
        <v>42</v>
      </c>
      <c r="B891" t="s">
        <v>349</v>
      </c>
      <c r="C891">
        <v>2390.2199999999998</v>
      </c>
      <c r="D891" t="s">
        <v>393</v>
      </c>
      <c r="E891">
        <v>3</v>
      </c>
      <c r="F891" t="s">
        <v>399</v>
      </c>
      <c r="G891" t="s">
        <v>402</v>
      </c>
      <c r="H891" t="s">
        <v>408</v>
      </c>
      <c r="I891" t="s">
        <v>409</v>
      </c>
      <c r="J891" t="s">
        <v>519</v>
      </c>
      <c r="K891" t="s">
        <v>582</v>
      </c>
    </row>
    <row r="892" spans="1:11" x14ac:dyDescent="0.35">
      <c r="A892" t="s">
        <v>128</v>
      </c>
      <c r="B892" t="s">
        <v>224</v>
      </c>
      <c r="C892">
        <v>4374.34</v>
      </c>
      <c r="D892" t="s">
        <v>395</v>
      </c>
      <c r="E892">
        <v>3</v>
      </c>
      <c r="F892" t="s">
        <v>399</v>
      </c>
      <c r="G892" t="s">
        <v>402</v>
      </c>
      <c r="H892" t="s">
        <v>408</v>
      </c>
      <c r="I892" t="s">
        <v>410</v>
      </c>
      <c r="J892" t="s">
        <v>519</v>
      </c>
      <c r="K892" t="s">
        <v>583</v>
      </c>
    </row>
    <row r="893" spans="1:11" x14ac:dyDescent="0.35">
      <c r="A893" t="s">
        <v>147</v>
      </c>
      <c r="B893" t="s">
        <v>241</v>
      </c>
      <c r="C893">
        <v>509.33</v>
      </c>
      <c r="D893" t="s">
        <v>391</v>
      </c>
      <c r="E893">
        <v>4</v>
      </c>
      <c r="F893" t="s">
        <v>400</v>
      </c>
      <c r="G893" t="s">
        <v>403</v>
      </c>
      <c r="H893" t="s">
        <v>404</v>
      </c>
      <c r="I893" t="s">
        <v>409</v>
      </c>
      <c r="J893" t="s">
        <v>492</v>
      </c>
      <c r="K893" t="s">
        <v>582</v>
      </c>
    </row>
    <row r="894" spans="1:11" x14ac:dyDescent="0.35">
      <c r="A894" t="s">
        <v>180</v>
      </c>
      <c r="B894" t="s">
        <v>368</v>
      </c>
      <c r="C894">
        <v>3921.37</v>
      </c>
      <c r="D894" t="s">
        <v>394</v>
      </c>
      <c r="E894">
        <v>3</v>
      </c>
      <c r="F894" t="s">
        <v>401</v>
      </c>
      <c r="G894" t="s">
        <v>402</v>
      </c>
      <c r="H894" t="s">
        <v>408</v>
      </c>
      <c r="I894" t="s">
        <v>410</v>
      </c>
      <c r="J894" t="s">
        <v>492</v>
      </c>
      <c r="K894" t="s">
        <v>583</v>
      </c>
    </row>
    <row r="895" spans="1:11" x14ac:dyDescent="0.35">
      <c r="A895" t="s">
        <v>27</v>
      </c>
      <c r="B895" t="s">
        <v>331</v>
      </c>
      <c r="C895">
        <v>4307.1099999999997</v>
      </c>
      <c r="D895" t="s">
        <v>393</v>
      </c>
      <c r="E895">
        <v>2</v>
      </c>
      <c r="F895" t="s">
        <v>400</v>
      </c>
      <c r="G895" t="s">
        <v>402</v>
      </c>
      <c r="H895" t="s">
        <v>406</v>
      </c>
      <c r="I895" t="s">
        <v>410</v>
      </c>
      <c r="J895" t="s">
        <v>503</v>
      </c>
      <c r="K895" t="s">
        <v>582</v>
      </c>
    </row>
    <row r="896" spans="1:11" x14ac:dyDescent="0.35">
      <c r="A896" t="s">
        <v>146</v>
      </c>
      <c r="B896" t="s">
        <v>322</v>
      </c>
      <c r="C896">
        <v>173.35</v>
      </c>
      <c r="D896" t="s">
        <v>392</v>
      </c>
      <c r="E896">
        <v>3</v>
      </c>
      <c r="F896" t="s">
        <v>399</v>
      </c>
      <c r="G896" t="s">
        <v>403</v>
      </c>
      <c r="H896" t="s">
        <v>408</v>
      </c>
      <c r="I896" t="s">
        <v>409</v>
      </c>
      <c r="J896" t="s">
        <v>503</v>
      </c>
      <c r="K896" t="s">
        <v>582</v>
      </c>
    </row>
    <row r="897" spans="1:11" x14ac:dyDescent="0.35">
      <c r="A897" t="s">
        <v>143</v>
      </c>
      <c r="B897" t="s">
        <v>278</v>
      </c>
      <c r="C897">
        <v>4981.5600000000004</v>
      </c>
      <c r="D897" t="s">
        <v>395</v>
      </c>
      <c r="E897">
        <v>5</v>
      </c>
      <c r="F897" t="s">
        <v>399</v>
      </c>
      <c r="G897" t="s">
        <v>403</v>
      </c>
      <c r="H897" t="s">
        <v>406</v>
      </c>
      <c r="I897" t="s">
        <v>410</v>
      </c>
      <c r="J897" t="s">
        <v>503</v>
      </c>
      <c r="K897" t="s">
        <v>583</v>
      </c>
    </row>
    <row r="898" spans="1:11" x14ac:dyDescent="0.35">
      <c r="A898" t="s">
        <v>195</v>
      </c>
      <c r="B898" t="s">
        <v>297</v>
      </c>
      <c r="C898">
        <v>1450.65</v>
      </c>
      <c r="D898" t="s">
        <v>396</v>
      </c>
      <c r="E898">
        <v>3</v>
      </c>
      <c r="F898" t="s">
        <v>398</v>
      </c>
      <c r="G898" t="s">
        <v>403</v>
      </c>
      <c r="H898" t="s">
        <v>407</v>
      </c>
      <c r="I898" t="s">
        <v>410</v>
      </c>
      <c r="J898" t="s">
        <v>503</v>
      </c>
      <c r="K898" t="s">
        <v>583</v>
      </c>
    </row>
    <row r="899" spans="1:11" x14ac:dyDescent="0.35">
      <c r="A899" t="s">
        <v>12</v>
      </c>
      <c r="B899" t="s">
        <v>252</v>
      </c>
      <c r="C899">
        <v>3598.92</v>
      </c>
      <c r="D899" t="s">
        <v>395</v>
      </c>
      <c r="E899">
        <v>1</v>
      </c>
      <c r="F899" t="s">
        <v>401</v>
      </c>
      <c r="G899" t="s">
        <v>402</v>
      </c>
      <c r="H899" t="s">
        <v>406</v>
      </c>
      <c r="I899" t="s">
        <v>410</v>
      </c>
      <c r="J899" t="s">
        <v>532</v>
      </c>
      <c r="K899" t="s">
        <v>582</v>
      </c>
    </row>
    <row r="900" spans="1:11" x14ac:dyDescent="0.35">
      <c r="A900" t="s">
        <v>63</v>
      </c>
      <c r="B900" t="s">
        <v>375</v>
      </c>
      <c r="C900">
        <v>2092.09</v>
      </c>
      <c r="D900" t="s">
        <v>394</v>
      </c>
      <c r="E900">
        <v>2</v>
      </c>
      <c r="F900" t="s">
        <v>400</v>
      </c>
      <c r="G900" t="s">
        <v>402</v>
      </c>
      <c r="H900" t="s">
        <v>406</v>
      </c>
      <c r="I900" t="s">
        <v>410</v>
      </c>
      <c r="J900" t="s">
        <v>532</v>
      </c>
      <c r="K900" t="s">
        <v>582</v>
      </c>
    </row>
    <row r="901" spans="1:11" x14ac:dyDescent="0.35">
      <c r="A901" t="s">
        <v>91</v>
      </c>
      <c r="B901" t="s">
        <v>310</v>
      </c>
      <c r="C901">
        <v>857.27</v>
      </c>
      <c r="D901" t="s">
        <v>393</v>
      </c>
      <c r="E901">
        <v>5</v>
      </c>
      <c r="F901" t="s">
        <v>398</v>
      </c>
      <c r="G901" t="s">
        <v>402</v>
      </c>
      <c r="H901" t="s">
        <v>405</v>
      </c>
      <c r="I901" t="s">
        <v>409</v>
      </c>
      <c r="J901" t="s">
        <v>532</v>
      </c>
      <c r="K901" t="s">
        <v>582</v>
      </c>
    </row>
    <row r="902" spans="1:11" x14ac:dyDescent="0.35">
      <c r="A902" t="s">
        <v>124</v>
      </c>
      <c r="B902" t="s">
        <v>265</v>
      </c>
      <c r="C902">
        <v>2008.14</v>
      </c>
      <c r="D902" t="s">
        <v>392</v>
      </c>
      <c r="E902">
        <v>3</v>
      </c>
      <c r="F902" t="s">
        <v>398</v>
      </c>
      <c r="G902" t="s">
        <v>403</v>
      </c>
      <c r="H902" t="s">
        <v>405</v>
      </c>
      <c r="I902" t="s">
        <v>409</v>
      </c>
      <c r="J902" t="s">
        <v>532</v>
      </c>
      <c r="K902" t="s">
        <v>582</v>
      </c>
    </row>
    <row r="903" spans="1:11" x14ac:dyDescent="0.35">
      <c r="A903" t="s">
        <v>69</v>
      </c>
      <c r="B903" t="s">
        <v>265</v>
      </c>
      <c r="C903">
        <v>3100.61</v>
      </c>
      <c r="D903" t="s">
        <v>395</v>
      </c>
      <c r="E903">
        <v>4</v>
      </c>
      <c r="F903" t="s">
        <v>397</v>
      </c>
      <c r="G903" t="s">
        <v>402</v>
      </c>
      <c r="H903" t="s">
        <v>405</v>
      </c>
      <c r="I903" t="s">
        <v>410</v>
      </c>
      <c r="J903" t="s">
        <v>532</v>
      </c>
      <c r="K903" t="s">
        <v>583</v>
      </c>
    </row>
    <row r="904" spans="1:11" x14ac:dyDescent="0.35">
      <c r="A904" t="s">
        <v>95</v>
      </c>
      <c r="B904" t="s">
        <v>290</v>
      </c>
      <c r="C904">
        <v>1352.9</v>
      </c>
      <c r="D904" t="s">
        <v>395</v>
      </c>
      <c r="E904">
        <v>5</v>
      </c>
      <c r="F904" t="s">
        <v>397</v>
      </c>
      <c r="G904" t="s">
        <v>402</v>
      </c>
      <c r="H904" t="s">
        <v>406</v>
      </c>
      <c r="I904" t="s">
        <v>410</v>
      </c>
      <c r="J904" t="s">
        <v>456</v>
      </c>
      <c r="K904" t="s">
        <v>583</v>
      </c>
    </row>
    <row r="905" spans="1:11" x14ac:dyDescent="0.35">
      <c r="A905" t="s">
        <v>162</v>
      </c>
      <c r="B905" t="s">
        <v>231</v>
      </c>
      <c r="C905">
        <v>1110.79</v>
      </c>
      <c r="D905" t="s">
        <v>391</v>
      </c>
      <c r="E905">
        <v>5</v>
      </c>
      <c r="F905" t="s">
        <v>398</v>
      </c>
      <c r="G905" t="s">
        <v>403</v>
      </c>
      <c r="H905" t="s">
        <v>407</v>
      </c>
      <c r="I905" t="s">
        <v>409</v>
      </c>
      <c r="J905" t="s">
        <v>456</v>
      </c>
      <c r="K905" t="s">
        <v>583</v>
      </c>
    </row>
    <row r="906" spans="1:11" x14ac:dyDescent="0.35">
      <c r="A906" t="s">
        <v>30</v>
      </c>
      <c r="B906" t="s">
        <v>317</v>
      </c>
      <c r="C906">
        <v>2873.09</v>
      </c>
      <c r="D906" t="s">
        <v>396</v>
      </c>
      <c r="E906">
        <v>2</v>
      </c>
      <c r="F906" t="s">
        <v>400</v>
      </c>
      <c r="G906" t="s">
        <v>403</v>
      </c>
      <c r="H906" t="s">
        <v>405</v>
      </c>
      <c r="I906" t="s">
        <v>409</v>
      </c>
      <c r="J906" t="s">
        <v>493</v>
      </c>
      <c r="K906" t="s">
        <v>583</v>
      </c>
    </row>
    <row r="907" spans="1:11" x14ac:dyDescent="0.35">
      <c r="A907" t="s">
        <v>131</v>
      </c>
      <c r="B907" t="s">
        <v>327</v>
      </c>
      <c r="C907">
        <v>2179.73</v>
      </c>
      <c r="D907" t="s">
        <v>393</v>
      </c>
      <c r="E907">
        <v>4</v>
      </c>
      <c r="F907" t="s">
        <v>399</v>
      </c>
      <c r="G907" t="s">
        <v>403</v>
      </c>
      <c r="H907" t="s">
        <v>408</v>
      </c>
      <c r="I907" t="s">
        <v>409</v>
      </c>
      <c r="J907" t="s">
        <v>520</v>
      </c>
      <c r="K907" t="s">
        <v>582</v>
      </c>
    </row>
    <row r="908" spans="1:11" x14ac:dyDescent="0.35">
      <c r="A908" t="s">
        <v>71</v>
      </c>
      <c r="B908" t="s">
        <v>280</v>
      </c>
      <c r="C908">
        <v>1235.8900000000001</v>
      </c>
      <c r="D908" t="s">
        <v>396</v>
      </c>
      <c r="E908">
        <v>2</v>
      </c>
      <c r="F908" t="s">
        <v>401</v>
      </c>
      <c r="G908" t="s">
        <v>402</v>
      </c>
      <c r="H908" t="s">
        <v>406</v>
      </c>
      <c r="I908" t="s">
        <v>410</v>
      </c>
      <c r="J908" t="s">
        <v>520</v>
      </c>
      <c r="K908" t="s">
        <v>582</v>
      </c>
    </row>
    <row r="909" spans="1:11" x14ac:dyDescent="0.35">
      <c r="A909" t="s">
        <v>185</v>
      </c>
      <c r="B909" t="s">
        <v>280</v>
      </c>
      <c r="C909">
        <v>4272.96</v>
      </c>
      <c r="D909" t="s">
        <v>391</v>
      </c>
      <c r="E909">
        <v>5</v>
      </c>
      <c r="F909" t="s">
        <v>397</v>
      </c>
      <c r="G909" t="s">
        <v>402</v>
      </c>
      <c r="H909" t="s">
        <v>404</v>
      </c>
      <c r="I909" t="s">
        <v>409</v>
      </c>
      <c r="J909" t="s">
        <v>520</v>
      </c>
      <c r="K909" t="s">
        <v>582</v>
      </c>
    </row>
    <row r="910" spans="1:11" x14ac:dyDescent="0.35">
      <c r="A910" t="s">
        <v>207</v>
      </c>
      <c r="B910" t="s">
        <v>311</v>
      </c>
      <c r="C910">
        <v>4397.3900000000003</v>
      </c>
      <c r="D910" t="s">
        <v>392</v>
      </c>
      <c r="E910">
        <v>3</v>
      </c>
      <c r="F910" t="s">
        <v>400</v>
      </c>
      <c r="G910" t="s">
        <v>403</v>
      </c>
      <c r="H910" t="s">
        <v>406</v>
      </c>
      <c r="I910" t="s">
        <v>410</v>
      </c>
      <c r="J910" t="s">
        <v>520</v>
      </c>
      <c r="K910" t="s">
        <v>583</v>
      </c>
    </row>
    <row r="911" spans="1:11" x14ac:dyDescent="0.35">
      <c r="A911" t="s">
        <v>131</v>
      </c>
      <c r="B911" t="s">
        <v>278</v>
      </c>
      <c r="C911">
        <v>2900.02</v>
      </c>
      <c r="D911" t="s">
        <v>396</v>
      </c>
      <c r="E911">
        <v>3</v>
      </c>
      <c r="F911" t="s">
        <v>398</v>
      </c>
      <c r="G911" t="s">
        <v>402</v>
      </c>
      <c r="H911" t="s">
        <v>404</v>
      </c>
      <c r="I911" t="s">
        <v>409</v>
      </c>
      <c r="J911" t="s">
        <v>504</v>
      </c>
      <c r="K911" t="s">
        <v>582</v>
      </c>
    </row>
    <row r="912" spans="1:11" x14ac:dyDescent="0.35">
      <c r="A912" t="s">
        <v>82</v>
      </c>
      <c r="B912" t="s">
        <v>232</v>
      </c>
      <c r="C912">
        <v>4245.1499999999996</v>
      </c>
      <c r="D912" t="s">
        <v>393</v>
      </c>
      <c r="E912">
        <v>2</v>
      </c>
      <c r="F912" t="s">
        <v>397</v>
      </c>
      <c r="G912" t="s">
        <v>403</v>
      </c>
      <c r="H912" t="s">
        <v>404</v>
      </c>
      <c r="I912" t="s">
        <v>410</v>
      </c>
      <c r="J912" t="s">
        <v>504</v>
      </c>
      <c r="K912" t="s">
        <v>583</v>
      </c>
    </row>
    <row r="913" spans="1:11" x14ac:dyDescent="0.35">
      <c r="A913" t="s">
        <v>177</v>
      </c>
      <c r="B913" t="s">
        <v>232</v>
      </c>
      <c r="C913">
        <v>3688.31</v>
      </c>
      <c r="D913" t="s">
        <v>396</v>
      </c>
      <c r="E913">
        <v>2</v>
      </c>
      <c r="F913" t="s">
        <v>398</v>
      </c>
      <c r="G913" t="s">
        <v>402</v>
      </c>
      <c r="H913" t="s">
        <v>407</v>
      </c>
      <c r="I913" t="s">
        <v>410</v>
      </c>
      <c r="J913" t="s">
        <v>504</v>
      </c>
      <c r="K913" t="s">
        <v>582</v>
      </c>
    </row>
    <row r="914" spans="1:11" x14ac:dyDescent="0.35">
      <c r="A914" t="s">
        <v>25</v>
      </c>
      <c r="B914" t="s">
        <v>214</v>
      </c>
      <c r="C914">
        <v>1191.56</v>
      </c>
      <c r="D914" t="s">
        <v>391</v>
      </c>
      <c r="E914">
        <v>4</v>
      </c>
      <c r="F914" t="s">
        <v>398</v>
      </c>
      <c r="G914" t="s">
        <v>403</v>
      </c>
      <c r="H914" t="s">
        <v>406</v>
      </c>
      <c r="I914" t="s">
        <v>410</v>
      </c>
      <c r="J914" t="s">
        <v>552</v>
      </c>
      <c r="K914" t="s">
        <v>583</v>
      </c>
    </row>
    <row r="915" spans="1:11" x14ac:dyDescent="0.35">
      <c r="A915" t="s">
        <v>13</v>
      </c>
      <c r="B915" t="s">
        <v>212</v>
      </c>
      <c r="C915">
        <v>3591.68</v>
      </c>
      <c r="D915" t="s">
        <v>392</v>
      </c>
      <c r="E915">
        <v>5</v>
      </c>
      <c r="F915" t="s">
        <v>398</v>
      </c>
      <c r="G915" t="s">
        <v>402</v>
      </c>
      <c r="H915" t="s">
        <v>406</v>
      </c>
      <c r="I915" t="s">
        <v>410</v>
      </c>
      <c r="J915" t="s">
        <v>413</v>
      </c>
      <c r="K915" t="s">
        <v>582</v>
      </c>
    </row>
    <row r="916" spans="1:11" x14ac:dyDescent="0.35">
      <c r="A916" t="s">
        <v>139</v>
      </c>
      <c r="B916" t="s">
        <v>212</v>
      </c>
      <c r="C916">
        <v>3035.67</v>
      </c>
      <c r="D916" t="s">
        <v>394</v>
      </c>
      <c r="E916">
        <v>4</v>
      </c>
      <c r="F916" t="s">
        <v>399</v>
      </c>
      <c r="G916" t="s">
        <v>402</v>
      </c>
      <c r="H916" t="s">
        <v>407</v>
      </c>
      <c r="I916" t="s">
        <v>410</v>
      </c>
      <c r="J916" t="s">
        <v>413</v>
      </c>
      <c r="K916" t="s">
        <v>583</v>
      </c>
    </row>
    <row r="917" spans="1:11" x14ac:dyDescent="0.35">
      <c r="A917" t="s">
        <v>75</v>
      </c>
      <c r="B917" t="s">
        <v>290</v>
      </c>
      <c r="C917">
        <v>3451.89</v>
      </c>
      <c r="D917" t="s">
        <v>393</v>
      </c>
      <c r="E917">
        <v>1</v>
      </c>
      <c r="F917" t="s">
        <v>398</v>
      </c>
      <c r="G917" t="s">
        <v>403</v>
      </c>
      <c r="H917" t="s">
        <v>405</v>
      </c>
      <c r="I917" t="s">
        <v>409</v>
      </c>
      <c r="J917" t="s">
        <v>413</v>
      </c>
      <c r="K917" t="s">
        <v>582</v>
      </c>
    </row>
    <row r="918" spans="1:11" x14ac:dyDescent="0.35">
      <c r="A918" t="s">
        <v>181</v>
      </c>
      <c r="B918" t="s">
        <v>270</v>
      </c>
      <c r="C918">
        <v>4595.2</v>
      </c>
      <c r="D918" t="s">
        <v>393</v>
      </c>
      <c r="E918">
        <v>1</v>
      </c>
      <c r="F918" t="s">
        <v>397</v>
      </c>
      <c r="G918" t="s">
        <v>403</v>
      </c>
      <c r="H918" t="s">
        <v>406</v>
      </c>
      <c r="I918" t="s">
        <v>410</v>
      </c>
      <c r="J918" t="s">
        <v>530</v>
      </c>
      <c r="K918" t="s">
        <v>582</v>
      </c>
    </row>
    <row r="919" spans="1:11" x14ac:dyDescent="0.35">
      <c r="A919" t="s">
        <v>187</v>
      </c>
      <c r="B919" t="s">
        <v>277</v>
      </c>
      <c r="C919">
        <v>2206.64</v>
      </c>
      <c r="D919" t="s">
        <v>392</v>
      </c>
      <c r="E919">
        <v>3</v>
      </c>
      <c r="F919" t="s">
        <v>399</v>
      </c>
      <c r="G919" t="s">
        <v>403</v>
      </c>
      <c r="H919" t="s">
        <v>408</v>
      </c>
      <c r="I919" t="s">
        <v>409</v>
      </c>
      <c r="J919" t="s">
        <v>530</v>
      </c>
      <c r="K919" t="s">
        <v>583</v>
      </c>
    </row>
    <row r="920" spans="1:11" x14ac:dyDescent="0.35">
      <c r="A920" t="s">
        <v>87</v>
      </c>
      <c r="B920" t="s">
        <v>214</v>
      </c>
      <c r="C920">
        <v>1420.51</v>
      </c>
      <c r="D920" t="s">
        <v>394</v>
      </c>
      <c r="E920">
        <v>5</v>
      </c>
      <c r="F920" t="s">
        <v>401</v>
      </c>
      <c r="G920" t="s">
        <v>402</v>
      </c>
      <c r="H920" t="s">
        <v>408</v>
      </c>
      <c r="I920" t="s">
        <v>410</v>
      </c>
      <c r="J920" t="s">
        <v>530</v>
      </c>
      <c r="K920" t="s">
        <v>582</v>
      </c>
    </row>
    <row r="921" spans="1:11" x14ac:dyDescent="0.35">
      <c r="A921" t="s">
        <v>98</v>
      </c>
      <c r="B921" t="s">
        <v>293</v>
      </c>
      <c r="C921">
        <v>3254.19</v>
      </c>
      <c r="D921" t="s">
        <v>392</v>
      </c>
      <c r="E921">
        <v>2</v>
      </c>
      <c r="F921" t="s">
        <v>399</v>
      </c>
      <c r="G921" t="s">
        <v>403</v>
      </c>
      <c r="H921" t="s">
        <v>404</v>
      </c>
      <c r="I921" t="s">
        <v>410</v>
      </c>
      <c r="J921" t="s">
        <v>576</v>
      </c>
      <c r="K921" t="s">
        <v>582</v>
      </c>
    </row>
    <row r="922" spans="1:11" x14ac:dyDescent="0.35">
      <c r="A922" t="s">
        <v>71</v>
      </c>
      <c r="B922" t="s">
        <v>352</v>
      </c>
      <c r="C922">
        <v>3960.6</v>
      </c>
      <c r="D922" t="s">
        <v>394</v>
      </c>
      <c r="E922">
        <v>2</v>
      </c>
      <c r="F922" t="s">
        <v>398</v>
      </c>
      <c r="G922" t="s">
        <v>403</v>
      </c>
      <c r="H922" t="s">
        <v>408</v>
      </c>
      <c r="I922" t="s">
        <v>409</v>
      </c>
      <c r="J922" t="s">
        <v>537</v>
      </c>
      <c r="K922" t="s">
        <v>583</v>
      </c>
    </row>
    <row r="923" spans="1:11" x14ac:dyDescent="0.35">
      <c r="A923" t="s">
        <v>25</v>
      </c>
      <c r="B923" t="s">
        <v>307</v>
      </c>
      <c r="C923">
        <v>1549.32</v>
      </c>
      <c r="D923" t="s">
        <v>394</v>
      </c>
      <c r="E923">
        <v>3</v>
      </c>
      <c r="F923" t="s">
        <v>399</v>
      </c>
      <c r="G923" t="s">
        <v>402</v>
      </c>
      <c r="H923" t="s">
        <v>408</v>
      </c>
      <c r="I923" t="s">
        <v>409</v>
      </c>
      <c r="J923" t="s">
        <v>537</v>
      </c>
      <c r="K923" t="s">
        <v>582</v>
      </c>
    </row>
    <row r="924" spans="1:11" x14ac:dyDescent="0.35">
      <c r="A924" t="s">
        <v>165</v>
      </c>
      <c r="B924" t="s">
        <v>371</v>
      </c>
      <c r="C924">
        <v>1035.49</v>
      </c>
      <c r="D924" t="s">
        <v>394</v>
      </c>
      <c r="E924">
        <v>5</v>
      </c>
      <c r="F924" t="s">
        <v>397</v>
      </c>
      <c r="G924" t="s">
        <v>402</v>
      </c>
      <c r="H924" t="s">
        <v>408</v>
      </c>
      <c r="I924" t="s">
        <v>409</v>
      </c>
      <c r="J924" t="s">
        <v>537</v>
      </c>
      <c r="K924" t="s">
        <v>583</v>
      </c>
    </row>
    <row r="925" spans="1:11" x14ac:dyDescent="0.35">
      <c r="A925" t="s">
        <v>174</v>
      </c>
      <c r="B925" t="s">
        <v>317</v>
      </c>
      <c r="C925">
        <v>3663.59</v>
      </c>
      <c r="D925" t="s">
        <v>392</v>
      </c>
      <c r="E925">
        <v>4</v>
      </c>
      <c r="F925" t="s">
        <v>399</v>
      </c>
      <c r="G925" t="s">
        <v>402</v>
      </c>
      <c r="H925" t="s">
        <v>407</v>
      </c>
      <c r="I925" t="s">
        <v>410</v>
      </c>
      <c r="J925" t="s">
        <v>537</v>
      </c>
      <c r="K925" t="s">
        <v>583</v>
      </c>
    </row>
    <row r="926" spans="1:11" x14ac:dyDescent="0.35">
      <c r="A926" t="s">
        <v>53</v>
      </c>
      <c r="B926" t="s">
        <v>214</v>
      </c>
      <c r="C926">
        <v>1032.98</v>
      </c>
      <c r="D926" t="s">
        <v>391</v>
      </c>
      <c r="E926">
        <v>2</v>
      </c>
      <c r="F926" t="s">
        <v>401</v>
      </c>
      <c r="G926" t="s">
        <v>402</v>
      </c>
      <c r="H926" t="s">
        <v>404</v>
      </c>
      <c r="I926" t="s">
        <v>409</v>
      </c>
      <c r="J926" t="s">
        <v>545</v>
      </c>
      <c r="K926" t="s">
        <v>582</v>
      </c>
    </row>
    <row r="927" spans="1:11" x14ac:dyDescent="0.35">
      <c r="A927" t="s">
        <v>138</v>
      </c>
      <c r="B927" t="s">
        <v>274</v>
      </c>
      <c r="C927">
        <v>2265.8000000000002</v>
      </c>
      <c r="D927" t="s">
        <v>395</v>
      </c>
      <c r="E927">
        <v>1</v>
      </c>
      <c r="F927" t="s">
        <v>397</v>
      </c>
      <c r="G927" t="s">
        <v>402</v>
      </c>
      <c r="H927" t="s">
        <v>408</v>
      </c>
      <c r="I927" t="s">
        <v>409</v>
      </c>
      <c r="J927" t="s">
        <v>535</v>
      </c>
      <c r="K927" t="s">
        <v>582</v>
      </c>
    </row>
    <row r="928" spans="1:11" x14ac:dyDescent="0.35">
      <c r="A928" t="s">
        <v>202</v>
      </c>
      <c r="B928" t="s">
        <v>263</v>
      </c>
      <c r="C928">
        <v>1509.71</v>
      </c>
      <c r="D928" t="s">
        <v>395</v>
      </c>
      <c r="E928">
        <v>2</v>
      </c>
      <c r="F928" t="s">
        <v>400</v>
      </c>
      <c r="G928" t="s">
        <v>403</v>
      </c>
      <c r="H928" t="s">
        <v>406</v>
      </c>
      <c r="I928" t="s">
        <v>409</v>
      </c>
      <c r="J928" t="s">
        <v>535</v>
      </c>
      <c r="K928" t="s">
        <v>582</v>
      </c>
    </row>
    <row r="929" spans="1:11" x14ac:dyDescent="0.35">
      <c r="A929" t="s">
        <v>30</v>
      </c>
      <c r="B929" t="s">
        <v>318</v>
      </c>
      <c r="C929">
        <v>2344.52</v>
      </c>
      <c r="D929" t="s">
        <v>391</v>
      </c>
      <c r="E929">
        <v>2</v>
      </c>
      <c r="F929" t="s">
        <v>400</v>
      </c>
      <c r="G929" t="s">
        <v>403</v>
      </c>
      <c r="H929" t="s">
        <v>406</v>
      </c>
      <c r="I929" t="s">
        <v>410</v>
      </c>
      <c r="J929" t="s">
        <v>476</v>
      </c>
      <c r="K929" t="s">
        <v>583</v>
      </c>
    </row>
    <row r="930" spans="1:11" x14ac:dyDescent="0.35">
      <c r="A930" t="s">
        <v>158</v>
      </c>
      <c r="B930" t="s">
        <v>284</v>
      </c>
      <c r="C930">
        <v>3075.72</v>
      </c>
      <c r="D930" t="s">
        <v>396</v>
      </c>
      <c r="E930">
        <v>4</v>
      </c>
      <c r="F930" t="s">
        <v>400</v>
      </c>
      <c r="G930" t="s">
        <v>403</v>
      </c>
      <c r="H930" t="s">
        <v>406</v>
      </c>
      <c r="I930" t="s">
        <v>410</v>
      </c>
      <c r="J930" t="s">
        <v>571</v>
      </c>
      <c r="K930" t="s">
        <v>583</v>
      </c>
    </row>
    <row r="931" spans="1:11" x14ac:dyDescent="0.35">
      <c r="A931" t="s">
        <v>150</v>
      </c>
      <c r="B931" t="s">
        <v>246</v>
      </c>
      <c r="C931">
        <v>4174.54</v>
      </c>
      <c r="D931" t="s">
        <v>391</v>
      </c>
      <c r="E931">
        <v>4</v>
      </c>
      <c r="F931" t="s">
        <v>401</v>
      </c>
      <c r="G931" t="s">
        <v>402</v>
      </c>
      <c r="H931" t="s">
        <v>405</v>
      </c>
      <c r="I931" t="s">
        <v>409</v>
      </c>
      <c r="J931" t="s">
        <v>548</v>
      </c>
      <c r="K931" t="s">
        <v>583</v>
      </c>
    </row>
    <row r="932" spans="1:11" x14ac:dyDescent="0.35">
      <c r="A932" t="s">
        <v>51</v>
      </c>
      <c r="B932" t="s">
        <v>212</v>
      </c>
      <c r="C932">
        <v>2406.96</v>
      </c>
      <c r="D932" t="s">
        <v>396</v>
      </c>
      <c r="E932">
        <v>4</v>
      </c>
      <c r="F932" t="s">
        <v>399</v>
      </c>
      <c r="G932" t="s">
        <v>402</v>
      </c>
      <c r="H932" t="s">
        <v>404</v>
      </c>
      <c r="I932" t="s">
        <v>409</v>
      </c>
      <c r="J932" t="s">
        <v>548</v>
      </c>
      <c r="K932" t="s">
        <v>583</v>
      </c>
    </row>
    <row r="933" spans="1:11" x14ac:dyDescent="0.35">
      <c r="A933" t="s">
        <v>40</v>
      </c>
      <c r="B933" t="s">
        <v>300</v>
      </c>
      <c r="C933">
        <v>1798.09</v>
      </c>
      <c r="D933" t="s">
        <v>392</v>
      </c>
      <c r="E933">
        <v>1</v>
      </c>
      <c r="F933" t="s">
        <v>400</v>
      </c>
      <c r="G933" t="s">
        <v>403</v>
      </c>
      <c r="H933" t="s">
        <v>406</v>
      </c>
      <c r="I933" t="s">
        <v>409</v>
      </c>
      <c r="J933" t="s">
        <v>548</v>
      </c>
      <c r="K933" t="s">
        <v>582</v>
      </c>
    </row>
    <row r="934" spans="1:11" x14ac:dyDescent="0.35">
      <c r="A934" t="s">
        <v>203</v>
      </c>
      <c r="B934" t="s">
        <v>277</v>
      </c>
      <c r="C934">
        <v>2119.38</v>
      </c>
      <c r="D934" t="s">
        <v>396</v>
      </c>
      <c r="E934">
        <v>4</v>
      </c>
      <c r="F934" t="s">
        <v>401</v>
      </c>
      <c r="G934" t="s">
        <v>402</v>
      </c>
      <c r="H934" t="s">
        <v>404</v>
      </c>
      <c r="I934" t="s">
        <v>409</v>
      </c>
      <c r="J934" t="s">
        <v>548</v>
      </c>
      <c r="K934" t="s">
        <v>583</v>
      </c>
    </row>
    <row r="935" spans="1:11" x14ac:dyDescent="0.35">
      <c r="A935" t="s">
        <v>175</v>
      </c>
      <c r="B935" t="s">
        <v>377</v>
      </c>
      <c r="C935">
        <v>4045.01</v>
      </c>
      <c r="D935" t="s">
        <v>391</v>
      </c>
      <c r="E935">
        <v>4</v>
      </c>
      <c r="F935" t="s">
        <v>397</v>
      </c>
      <c r="G935" t="s">
        <v>403</v>
      </c>
      <c r="H935" t="s">
        <v>404</v>
      </c>
      <c r="I935" t="s">
        <v>410</v>
      </c>
      <c r="J935" t="s">
        <v>548</v>
      </c>
      <c r="K935" t="s">
        <v>582</v>
      </c>
    </row>
    <row r="936" spans="1:11" x14ac:dyDescent="0.35">
      <c r="A936" t="s">
        <v>68</v>
      </c>
      <c r="B936" t="s">
        <v>280</v>
      </c>
      <c r="C936">
        <v>1532.31</v>
      </c>
      <c r="D936" t="s">
        <v>392</v>
      </c>
      <c r="E936">
        <v>4</v>
      </c>
      <c r="F936" t="s">
        <v>399</v>
      </c>
      <c r="G936" t="s">
        <v>403</v>
      </c>
      <c r="H936" t="s">
        <v>405</v>
      </c>
      <c r="I936" t="s">
        <v>409</v>
      </c>
      <c r="J936" t="s">
        <v>541</v>
      </c>
      <c r="K936" t="s">
        <v>583</v>
      </c>
    </row>
    <row r="937" spans="1:11" x14ac:dyDescent="0.35">
      <c r="A937" t="s">
        <v>106</v>
      </c>
      <c r="B937" t="s">
        <v>345</v>
      </c>
      <c r="C937">
        <v>335.98</v>
      </c>
      <c r="D937" t="s">
        <v>394</v>
      </c>
      <c r="E937">
        <v>5</v>
      </c>
      <c r="F937" t="s">
        <v>400</v>
      </c>
      <c r="G937" t="s">
        <v>403</v>
      </c>
      <c r="H937" t="s">
        <v>404</v>
      </c>
      <c r="I937" t="s">
        <v>409</v>
      </c>
      <c r="J937" t="s">
        <v>495</v>
      </c>
      <c r="K937" t="s">
        <v>582</v>
      </c>
    </row>
    <row r="938" spans="1:11" x14ac:dyDescent="0.35">
      <c r="A938" t="s">
        <v>137</v>
      </c>
      <c r="B938" t="s">
        <v>390</v>
      </c>
      <c r="C938">
        <v>726.04</v>
      </c>
      <c r="D938" t="s">
        <v>395</v>
      </c>
      <c r="E938">
        <v>4</v>
      </c>
      <c r="F938" t="s">
        <v>400</v>
      </c>
      <c r="G938" t="s">
        <v>402</v>
      </c>
      <c r="H938" t="s">
        <v>408</v>
      </c>
      <c r="I938" t="s">
        <v>410</v>
      </c>
      <c r="J938" t="s">
        <v>495</v>
      </c>
      <c r="K938" t="s">
        <v>582</v>
      </c>
    </row>
    <row r="939" spans="1:11" x14ac:dyDescent="0.35">
      <c r="A939" t="s">
        <v>80</v>
      </c>
      <c r="B939" t="s">
        <v>277</v>
      </c>
      <c r="C939">
        <v>1286.49</v>
      </c>
      <c r="D939" t="s">
        <v>396</v>
      </c>
      <c r="E939">
        <v>3</v>
      </c>
      <c r="F939" t="s">
        <v>401</v>
      </c>
      <c r="G939" t="s">
        <v>403</v>
      </c>
      <c r="H939" t="s">
        <v>408</v>
      </c>
      <c r="I939" t="s">
        <v>410</v>
      </c>
      <c r="J939" t="s">
        <v>443</v>
      </c>
      <c r="K939" t="s">
        <v>582</v>
      </c>
    </row>
    <row r="940" spans="1:11" x14ac:dyDescent="0.35">
      <c r="A940" t="s">
        <v>98</v>
      </c>
      <c r="B940" t="s">
        <v>293</v>
      </c>
      <c r="C940">
        <v>3745.99</v>
      </c>
      <c r="D940" t="s">
        <v>391</v>
      </c>
      <c r="E940">
        <v>5</v>
      </c>
      <c r="F940" t="s">
        <v>401</v>
      </c>
      <c r="G940" t="s">
        <v>403</v>
      </c>
      <c r="H940" t="s">
        <v>404</v>
      </c>
      <c r="I940" t="s">
        <v>410</v>
      </c>
      <c r="J940" t="s">
        <v>443</v>
      </c>
      <c r="K940" t="s">
        <v>583</v>
      </c>
    </row>
    <row r="941" spans="1:11" x14ac:dyDescent="0.35">
      <c r="A941" t="s">
        <v>120</v>
      </c>
      <c r="B941" t="s">
        <v>290</v>
      </c>
      <c r="C941">
        <v>1243.8900000000001</v>
      </c>
      <c r="D941" t="s">
        <v>394</v>
      </c>
      <c r="E941">
        <v>3</v>
      </c>
      <c r="F941" t="s">
        <v>397</v>
      </c>
      <c r="G941" t="s">
        <v>402</v>
      </c>
      <c r="H941" t="s">
        <v>408</v>
      </c>
      <c r="I941" t="s">
        <v>410</v>
      </c>
      <c r="J941" t="s">
        <v>510</v>
      </c>
      <c r="K941" t="s">
        <v>583</v>
      </c>
    </row>
    <row r="942" spans="1:11" x14ac:dyDescent="0.35">
      <c r="A942" t="s">
        <v>36</v>
      </c>
      <c r="B942" t="s">
        <v>266</v>
      </c>
      <c r="C942">
        <v>1946.49</v>
      </c>
      <c r="D942" t="s">
        <v>394</v>
      </c>
      <c r="E942">
        <v>5</v>
      </c>
      <c r="F942" t="s">
        <v>401</v>
      </c>
      <c r="G942" t="s">
        <v>402</v>
      </c>
      <c r="H942" t="s">
        <v>404</v>
      </c>
      <c r="I942" t="s">
        <v>409</v>
      </c>
      <c r="J942" t="s">
        <v>510</v>
      </c>
      <c r="K942" t="s">
        <v>583</v>
      </c>
    </row>
    <row r="943" spans="1:11" x14ac:dyDescent="0.35">
      <c r="A943" t="s">
        <v>168</v>
      </c>
      <c r="B943" t="s">
        <v>254</v>
      </c>
      <c r="C943">
        <v>2257.8200000000002</v>
      </c>
      <c r="D943" t="s">
        <v>393</v>
      </c>
      <c r="E943">
        <v>1</v>
      </c>
      <c r="F943" t="s">
        <v>397</v>
      </c>
      <c r="G943" t="s">
        <v>403</v>
      </c>
      <c r="H943" t="s">
        <v>407</v>
      </c>
      <c r="I943" t="s">
        <v>410</v>
      </c>
      <c r="J943" t="s">
        <v>510</v>
      </c>
      <c r="K943" t="s">
        <v>583</v>
      </c>
    </row>
    <row r="944" spans="1:11" x14ac:dyDescent="0.35">
      <c r="A944" t="s">
        <v>64</v>
      </c>
      <c r="B944" t="s">
        <v>282</v>
      </c>
      <c r="C944">
        <v>4527.62</v>
      </c>
      <c r="D944" t="s">
        <v>394</v>
      </c>
      <c r="E944">
        <v>1</v>
      </c>
      <c r="F944" t="s">
        <v>399</v>
      </c>
      <c r="G944" t="s">
        <v>403</v>
      </c>
      <c r="H944" t="s">
        <v>405</v>
      </c>
      <c r="I944" t="s">
        <v>409</v>
      </c>
      <c r="J944" t="s">
        <v>448</v>
      </c>
      <c r="K944" t="s">
        <v>583</v>
      </c>
    </row>
    <row r="945" spans="1:11" x14ac:dyDescent="0.35">
      <c r="A945" t="s">
        <v>13</v>
      </c>
      <c r="B945" t="s">
        <v>353</v>
      </c>
      <c r="C945">
        <v>4132.55</v>
      </c>
      <c r="D945" t="s">
        <v>393</v>
      </c>
      <c r="E945">
        <v>5</v>
      </c>
      <c r="F945" t="s">
        <v>397</v>
      </c>
      <c r="G945" t="s">
        <v>403</v>
      </c>
      <c r="H945" t="s">
        <v>406</v>
      </c>
      <c r="I945" t="s">
        <v>410</v>
      </c>
      <c r="J945" t="s">
        <v>448</v>
      </c>
      <c r="K945" t="s">
        <v>583</v>
      </c>
    </row>
    <row r="946" spans="1:11" x14ac:dyDescent="0.35">
      <c r="A946" t="s">
        <v>89</v>
      </c>
      <c r="B946" t="s">
        <v>285</v>
      </c>
      <c r="C946">
        <v>1087.83</v>
      </c>
      <c r="D946" t="s">
        <v>394</v>
      </c>
      <c r="E946">
        <v>5</v>
      </c>
      <c r="F946" t="s">
        <v>397</v>
      </c>
      <c r="G946" t="s">
        <v>403</v>
      </c>
      <c r="H946" t="s">
        <v>405</v>
      </c>
      <c r="I946" t="s">
        <v>409</v>
      </c>
      <c r="J946" t="s">
        <v>452</v>
      </c>
      <c r="K946" t="s">
        <v>583</v>
      </c>
    </row>
    <row r="947" spans="1:11" x14ac:dyDescent="0.35">
      <c r="A947" t="s">
        <v>77</v>
      </c>
      <c r="B947" t="s">
        <v>282</v>
      </c>
      <c r="C947">
        <v>1632.77</v>
      </c>
      <c r="D947" t="s">
        <v>393</v>
      </c>
      <c r="E947">
        <v>1</v>
      </c>
      <c r="F947" t="s">
        <v>399</v>
      </c>
      <c r="G947" t="s">
        <v>402</v>
      </c>
      <c r="H947" t="s">
        <v>407</v>
      </c>
      <c r="I947" t="s">
        <v>410</v>
      </c>
      <c r="J947" t="s">
        <v>452</v>
      </c>
      <c r="K947" t="s">
        <v>582</v>
      </c>
    </row>
    <row r="948" spans="1:11" x14ac:dyDescent="0.35">
      <c r="A948" t="s">
        <v>77</v>
      </c>
      <c r="B948" t="s">
        <v>293</v>
      </c>
      <c r="C948">
        <v>160.25</v>
      </c>
      <c r="D948" t="s">
        <v>393</v>
      </c>
      <c r="E948">
        <v>5</v>
      </c>
      <c r="F948" t="s">
        <v>400</v>
      </c>
      <c r="G948" t="s">
        <v>403</v>
      </c>
      <c r="H948" t="s">
        <v>405</v>
      </c>
      <c r="I948" t="s">
        <v>410</v>
      </c>
      <c r="J948" t="s">
        <v>452</v>
      </c>
      <c r="K948" t="s">
        <v>582</v>
      </c>
    </row>
    <row r="949" spans="1:11" x14ac:dyDescent="0.35">
      <c r="A949" t="s">
        <v>31</v>
      </c>
      <c r="B949" t="s">
        <v>353</v>
      </c>
      <c r="C949">
        <v>3078.31</v>
      </c>
      <c r="D949" t="s">
        <v>395</v>
      </c>
      <c r="E949">
        <v>4</v>
      </c>
      <c r="F949" t="s">
        <v>399</v>
      </c>
      <c r="G949" t="s">
        <v>402</v>
      </c>
      <c r="H949" t="s">
        <v>405</v>
      </c>
      <c r="I949" t="s">
        <v>410</v>
      </c>
      <c r="J949" t="s">
        <v>569</v>
      </c>
      <c r="K949" t="s">
        <v>582</v>
      </c>
    </row>
    <row r="950" spans="1:11" x14ac:dyDescent="0.35">
      <c r="A950" t="s">
        <v>106</v>
      </c>
      <c r="B950" t="s">
        <v>275</v>
      </c>
      <c r="C950">
        <v>3398.68</v>
      </c>
      <c r="D950" t="s">
        <v>396</v>
      </c>
      <c r="E950">
        <v>5</v>
      </c>
      <c r="F950" t="s">
        <v>399</v>
      </c>
      <c r="G950" t="s">
        <v>403</v>
      </c>
      <c r="H950" t="s">
        <v>408</v>
      </c>
      <c r="I950" t="s">
        <v>409</v>
      </c>
      <c r="J950" t="s">
        <v>569</v>
      </c>
      <c r="K950" t="s">
        <v>582</v>
      </c>
    </row>
    <row r="951" spans="1:11" x14ac:dyDescent="0.35">
      <c r="A951" t="s">
        <v>36</v>
      </c>
      <c r="B951" t="s">
        <v>310</v>
      </c>
      <c r="C951">
        <v>4409.76</v>
      </c>
      <c r="D951" t="s">
        <v>392</v>
      </c>
      <c r="E951">
        <v>3</v>
      </c>
      <c r="F951" t="s">
        <v>401</v>
      </c>
      <c r="G951" t="s">
        <v>403</v>
      </c>
      <c r="H951" t="s">
        <v>408</v>
      </c>
      <c r="I951" t="s">
        <v>410</v>
      </c>
      <c r="J951" t="s">
        <v>529</v>
      </c>
      <c r="K951" t="s">
        <v>582</v>
      </c>
    </row>
    <row r="952" spans="1:11" x14ac:dyDescent="0.35">
      <c r="A952" t="s">
        <v>37</v>
      </c>
      <c r="B952" t="s">
        <v>272</v>
      </c>
      <c r="C952">
        <v>2368.11</v>
      </c>
      <c r="D952" t="s">
        <v>392</v>
      </c>
      <c r="E952">
        <v>1</v>
      </c>
      <c r="F952" t="s">
        <v>400</v>
      </c>
      <c r="G952" t="s">
        <v>402</v>
      </c>
      <c r="H952" t="s">
        <v>405</v>
      </c>
      <c r="I952" t="s">
        <v>410</v>
      </c>
      <c r="J952" t="s">
        <v>529</v>
      </c>
      <c r="K952" t="s">
        <v>582</v>
      </c>
    </row>
    <row r="953" spans="1:11" x14ac:dyDescent="0.35">
      <c r="A953" t="s">
        <v>164</v>
      </c>
      <c r="B953" t="s">
        <v>254</v>
      </c>
      <c r="C953">
        <v>372.88</v>
      </c>
      <c r="D953" t="s">
        <v>391</v>
      </c>
      <c r="E953">
        <v>1</v>
      </c>
      <c r="F953" t="s">
        <v>398</v>
      </c>
      <c r="G953" t="s">
        <v>402</v>
      </c>
      <c r="H953" t="s">
        <v>404</v>
      </c>
      <c r="I953" t="s">
        <v>409</v>
      </c>
      <c r="J953" t="s">
        <v>512</v>
      </c>
      <c r="K953" t="s">
        <v>583</v>
      </c>
    </row>
    <row r="954" spans="1:11" x14ac:dyDescent="0.35">
      <c r="A954" t="s">
        <v>170</v>
      </c>
      <c r="B954" t="s">
        <v>352</v>
      </c>
      <c r="C954">
        <v>172.98</v>
      </c>
      <c r="D954" t="s">
        <v>391</v>
      </c>
      <c r="E954">
        <v>4</v>
      </c>
      <c r="F954" t="s">
        <v>401</v>
      </c>
      <c r="G954" t="s">
        <v>403</v>
      </c>
      <c r="H954" t="s">
        <v>404</v>
      </c>
      <c r="I954" t="s">
        <v>410</v>
      </c>
      <c r="J954" t="s">
        <v>557</v>
      </c>
      <c r="K954" t="s">
        <v>583</v>
      </c>
    </row>
    <row r="955" spans="1:11" x14ac:dyDescent="0.35">
      <c r="A955" t="s">
        <v>154</v>
      </c>
      <c r="B955" t="s">
        <v>349</v>
      </c>
      <c r="C955">
        <v>212.72</v>
      </c>
      <c r="D955" t="s">
        <v>396</v>
      </c>
      <c r="E955">
        <v>3</v>
      </c>
      <c r="F955" t="s">
        <v>401</v>
      </c>
      <c r="G955" t="s">
        <v>403</v>
      </c>
      <c r="H955" t="s">
        <v>408</v>
      </c>
      <c r="I955" t="s">
        <v>409</v>
      </c>
      <c r="J955" t="s">
        <v>497</v>
      </c>
      <c r="K955" t="s">
        <v>582</v>
      </c>
    </row>
    <row r="956" spans="1:11" x14ac:dyDescent="0.35">
      <c r="A956" t="s">
        <v>28</v>
      </c>
      <c r="B956" t="s">
        <v>213</v>
      </c>
      <c r="C956">
        <v>4716.84</v>
      </c>
      <c r="D956" t="s">
        <v>396</v>
      </c>
      <c r="E956">
        <v>1</v>
      </c>
      <c r="F956" t="s">
        <v>398</v>
      </c>
      <c r="G956" t="s">
        <v>403</v>
      </c>
      <c r="H956" t="s">
        <v>404</v>
      </c>
      <c r="I956" t="s">
        <v>409</v>
      </c>
      <c r="J956" t="s">
        <v>497</v>
      </c>
      <c r="K956" t="s">
        <v>582</v>
      </c>
    </row>
    <row r="957" spans="1:11" x14ac:dyDescent="0.35">
      <c r="A957" t="s">
        <v>24</v>
      </c>
      <c r="B957" t="s">
        <v>349</v>
      </c>
      <c r="C957">
        <v>1127.6300000000001</v>
      </c>
      <c r="D957" t="s">
        <v>395</v>
      </c>
      <c r="E957">
        <v>5</v>
      </c>
      <c r="F957" t="s">
        <v>398</v>
      </c>
      <c r="G957" t="s">
        <v>402</v>
      </c>
      <c r="H957" t="s">
        <v>408</v>
      </c>
      <c r="I957" t="s">
        <v>410</v>
      </c>
      <c r="J957" t="s">
        <v>539</v>
      </c>
      <c r="K957" t="s">
        <v>582</v>
      </c>
    </row>
    <row r="958" spans="1:11" x14ac:dyDescent="0.35">
      <c r="A958" t="s">
        <v>169</v>
      </c>
      <c r="B958" t="s">
        <v>294</v>
      </c>
      <c r="C958">
        <v>3909.17</v>
      </c>
      <c r="D958" t="s">
        <v>391</v>
      </c>
      <c r="E958">
        <v>5</v>
      </c>
      <c r="F958" t="s">
        <v>397</v>
      </c>
      <c r="G958" t="s">
        <v>403</v>
      </c>
      <c r="H958" t="s">
        <v>404</v>
      </c>
      <c r="I958" t="s">
        <v>409</v>
      </c>
      <c r="J958" t="s">
        <v>542</v>
      </c>
      <c r="K958" t="s">
        <v>582</v>
      </c>
    </row>
    <row r="959" spans="1:11" x14ac:dyDescent="0.35">
      <c r="A959" t="s">
        <v>44</v>
      </c>
      <c r="B959" t="s">
        <v>360</v>
      </c>
      <c r="C959">
        <v>2146.7199999999998</v>
      </c>
      <c r="D959" t="s">
        <v>396</v>
      </c>
      <c r="E959">
        <v>5</v>
      </c>
      <c r="F959" t="s">
        <v>397</v>
      </c>
      <c r="G959" t="s">
        <v>402</v>
      </c>
      <c r="H959" t="s">
        <v>407</v>
      </c>
      <c r="I959" t="s">
        <v>410</v>
      </c>
      <c r="J959" t="s">
        <v>511</v>
      </c>
      <c r="K959" t="s">
        <v>582</v>
      </c>
    </row>
    <row r="960" spans="1:11" x14ac:dyDescent="0.35">
      <c r="A960" t="s">
        <v>106</v>
      </c>
      <c r="B960" t="s">
        <v>310</v>
      </c>
      <c r="C960">
        <v>2558.59</v>
      </c>
      <c r="D960" t="s">
        <v>393</v>
      </c>
      <c r="E960">
        <v>2</v>
      </c>
      <c r="F960" t="s">
        <v>397</v>
      </c>
      <c r="G960" t="s">
        <v>402</v>
      </c>
      <c r="H960" t="s">
        <v>407</v>
      </c>
      <c r="I960" t="s">
        <v>410</v>
      </c>
      <c r="J960" t="s">
        <v>472</v>
      </c>
      <c r="K960" t="s">
        <v>582</v>
      </c>
    </row>
    <row r="961" spans="1:11" x14ac:dyDescent="0.35">
      <c r="A961" t="s">
        <v>141</v>
      </c>
      <c r="B961" t="s">
        <v>282</v>
      </c>
      <c r="C961">
        <v>1599.8</v>
      </c>
      <c r="D961" t="s">
        <v>392</v>
      </c>
      <c r="E961">
        <v>2</v>
      </c>
      <c r="F961" t="s">
        <v>400</v>
      </c>
      <c r="G961" t="s">
        <v>402</v>
      </c>
      <c r="H961" t="s">
        <v>404</v>
      </c>
      <c r="I961" t="s">
        <v>410</v>
      </c>
      <c r="J961" t="s">
        <v>472</v>
      </c>
      <c r="K961" t="s">
        <v>582</v>
      </c>
    </row>
    <row r="962" spans="1:11" x14ac:dyDescent="0.35">
      <c r="A962" t="s">
        <v>79</v>
      </c>
      <c r="B962" t="s">
        <v>367</v>
      </c>
      <c r="C962">
        <v>1659.4</v>
      </c>
      <c r="D962" t="s">
        <v>396</v>
      </c>
      <c r="E962">
        <v>1</v>
      </c>
      <c r="F962" t="s">
        <v>401</v>
      </c>
      <c r="G962" t="s">
        <v>402</v>
      </c>
      <c r="H962" t="s">
        <v>404</v>
      </c>
      <c r="I962" t="s">
        <v>409</v>
      </c>
      <c r="J962" t="s">
        <v>472</v>
      </c>
      <c r="K962" t="s">
        <v>583</v>
      </c>
    </row>
    <row r="963" spans="1:11" x14ac:dyDescent="0.35">
      <c r="A963" t="s">
        <v>36</v>
      </c>
      <c r="B963" t="s">
        <v>358</v>
      </c>
      <c r="C963">
        <v>373.26</v>
      </c>
      <c r="D963" t="s">
        <v>395</v>
      </c>
      <c r="E963">
        <v>3</v>
      </c>
      <c r="F963" t="s">
        <v>397</v>
      </c>
      <c r="G963" t="s">
        <v>403</v>
      </c>
      <c r="H963" t="s">
        <v>405</v>
      </c>
      <c r="I963" t="s">
        <v>410</v>
      </c>
      <c r="J963" t="s">
        <v>506</v>
      </c>
      <c r="K963" t="s">
        <v>582</v>
      </c>
    </row>
    <row r="964" spans="1:11" x14ac:dyDescent="0.35">
      <c r="A964" t="s">
        <v>19</v>
      </c>
      <c r="B964" t="s">
        <v>217</v>
      </c>
      <c r="C964">
        <v>4352.67</v>
      </c>
      <c r="D964" t="s">
        <v>394</v>
      </c>
      <c r="E964">
        <v>1</v>
      </c>
      <c r="F964" t="s">
        <v>398</v>
      </c>
      <c r="G964" t="s">
        <v>403</v>
      </c>
      <c r="H964" t="s">
        <v>408</v>
      </c>
      <c r="I964" t="s">
        <v>409</v>
      </c>
      <c r="J964" t="s">
        <v>418</v>
      </c>
      <c r="K964" t="s">
        <v>582</v>
      </c>
    </row>
    <row r="965" spans="1:11" x14ac:dyDescent="0.35">
      <c r="A965" t="s">
        <v>27</v>
      </c>
      <c r="B965" t="s">
        <v>294</v>
      </c>
      <c r="C965">
        <v>3509.69</v>
      </c>
      <c r="D965" t="s">
        <v>393</v>
      </c>
      <c r="E965">
        <v>5</v>
      </c>
      <c r="F965" t="s">
        <v>401</v>
      </c>
      <c r="G965" t="s">
        <v>402</v>
      </c>
      <c r="H965" t="s">
        <v>404</v>
      </c>
      <c r="I965" t="s">
        <v>410</v>
      </c>
      <c r="J965" t="s">
        <v>580</v>
      </c>
      <c r="K965" t="s">
        <v>583</v>
      </c>
    </row>
    <row r="966" spans="1:11" x14ac:dyDescent="0.35">
      <c r="A966" t="s">
        <v>96</v>
      </c>
      <c r="B966" t="s">
        <v>352</v>
      </c>
      <c r="C966">
        <v>4658.74</v>
      </c>
      <c r="D966" t="s">
        <v>394</v>
      </c>
      <c r="E966">
        <v>1</v>
      </c>
      <c r="F966" t="s">
        <v>398</v>
      </c>
      <c r="G966" t="s">
        <v>403</v>
      </c>
      <c r="H966" t="s">
        <v>407</v>
      </c>
      <c r="I966" t="s">
        <v>410</v>
      </c>
      <c r="J966" t="s">
        <v>498</v>
      </c>
      <c r="K966" t="s">
        <v>582</v>
      </c>
    </row>
    <row r="967" spans="1:11" x14ac:dyDescent="0.35">
      <c r="A967" t="s">
        <v>167</v>
      </c>
      <c r="B967" t="s">
        <v>290</v>
      </c>
      <c r="C967">
        <v>4353.68</v>
      </c>
      <c r="D967" t="s">
        <v>394</v>
      </c>
      <c r="E967">
        <v>4</v>
      </c>
      <c r="F967" t="s">
        <v>399</v>
      </c>
      <c r="G967" t="s">
        <v>403</v>
      </c>
      <c r="H967" t="s">
        <v>405</v>
      </c>
      <c r="I967" t="s">
        <v>409</v>
      </c>
      <c r="J967" t="s">
        <v>498</v>
      </c>
      <c r="K967" t="s">
        <v>583</v>
      </c>
    </row>
    <row r="968" spans="1:11" x14ac:dyDescent="0.35">
      <c r="A968" t="s">
        <v>162</v>
      </c>
      <c r="B968" t="s">
        <v>263</v>
      </c>
      <c r="C968">
        <v>3643.44</v>
      </c>
      <c r="D968" t="s">
        <v>391</v>
      </c>
      <c r="E968">
        <v>2</v>
      </c>
      <c r="F968" t="s">
        <v>400</v>
      </c>
      <c r="G968" t="s">
        <v>402</v>
      </c>
      <c r="H968" t="s">
        <v>406</v>
      </c>
      <c r="I968" t="s">
        <v>409</v>
      </c>
      <c r="J968" t="s">
        <v>563</v>
      </c>
      <c r="K968" t="s">
        <v>582</v>
      </c>
    </row>
    <row r="969" spans="1:11" x14ac:dyDescent="0.35">
      <c r="A969" t="s">
        <v>157</v>
      </c>
      <c r="B969" t="s">
        <v>294</v>
      </c>
      <c r="C969">
        <v>2986.21</v>
      </c>
      <c r="D969" t="s">
        <v>391</v>
      </c>
      <c r="E969">
        <v>4</v>
      </c>
      <c r="F969" t="s">
        <v>398</v>
      </c>
      <c r="G969" t="s">
        <v>402</v>
      </c>
      <c r="H969" t="s">
        <v>405</v>
      </c>
      <c r="I969" t="s">
        <v>409</v>
      </c>
      <c r="J969" t="s">
        <v>508</v>
      </c>
      <c r="K969" t="s">
        <v>582</v>
      </c>
    </row>
    <row r="970" spans="1:11" x14ac:dyDescent="0.35">
      <c r="A970" t="s">
        <v>142</v>
      </c>
      <c r="B970" t="s">
        <v>349</v>
      </c>
      <c r="C970">
        <v>1406.67</v>
      </c>
      <c r="D970" t="s">
        <v>393</v>
      </c>
      <c r="E970">
        <v>2</v>
      </c>
      <c r="F970" t="s">
        <v>399</v>
      </c>
      <c r="G970" t="s">
        <v>402</v>
      </c>
      <c r="H970" t="s">
        <v>404</v>
      </c>
      <c r="I970" t="s">
        <v>410</v>
      </c>
      <c r="J970" t="s">
        <v>508</v>
      </c>
      <c r="K970" t="s">
        <v>582</v>
      </c>
    </row>
    <row r="971" spans="1:11" x14ac:dyDescent="0.35">
      <c r="A971" t="s">
        <v>135</v>
      </c>
      <c r="B971" t="s">
        <v>307</v>
      </c>
      <c r="C971">
        <v>3366.79</v>
      </c>
      <c r="D971" t="s">
        <v>394</v>
      </c>
      <c r="E971">
        <v>3</v>
      </c>
      <c r="F971" t="s">
        <v>399</v>
      </c>
      <c r="G971" t="s">
        <v>403</v>
      </c>
      <c r="H971" t="s">
        <v>406</v>
      </c>
      <c r="I971" t="s">
        <v>409</v>
      </c>
      <c r="J971" t="s">
        <v>536</v>
      </c>
      <c r="K971" t="s">
        <v>582</v>
      </c>
    </row>
    <row r="972" spans="1:11" x14ac:dyDescent="0.35">
      <c r="A972" t="s">
        <v>136</v>
      </c>
      <c r="B972" t="s">
        <v>328</v>
      </c>
      <c r="C972">
        <v>4536.28</v>
      </c>
      <c r="D972" t="s">
        <v>392</v>
      </c>
      <c r="E972">
        <v>4</v>
      </c>
      <c r="F972" t="s">
        <v>397</v>
      </c>
      <c r="G972" t="s">
        <v>403</v>
      </c>
      <c r="H972" t="s">
        <v>408</v>
      </c>
      <c r="I972" t="s">
        <v>409</v>
      </c>
      <c r="J972" t="s">
        <v>536</v>
      </c>
      <c r="K972" t="s">
        <v>582</v>
      </c>
    </row>
    <row r="973" spans="1:11" x14ac:dyDescent="0.35">
      <c r="A973" t="s">
        <v>204</v>
      </c>
      <c r="B973" t="s">
        <v>252</v>
      </c>
      <c r="C973">
        <v>2142.89</v>
      </c>
      <c r="D973" t="s">
        <v>395</v>
      </c>
      <c r="E973">
        <v>3</v>
      </c>
      <c r="F973" t="s">
        <v>399</v>
      </c>
      <c r="G973" t="s">
        <v>403</v>
      </c>
      <c r="H973" t="s">
        <v>406</v>
      </c>
      <c r="I973" t="s">
        <v>409</v>
      </c>
      <c r="J973" t="s">
        <v>574</v>
      </c>
      <c r="K973" t="s">
        <v>582</v>
      </c>
    </row>
    <row r="974" spans="1:11" x14ac:dyDescent="0.35">
      <c r="A974" t="s">
        <v>146</v>
      </c>
      <c r="B974" t="s">
        <v>360</v>
      </c>
      <c r="C974">
        <v>799.04</v>
      </c>
      <c r="D974" t="s">
        <v>393</v>
      </c>
      <c r="E974">
        <v>3</v>
      </c>
      <c r="F974" t="s">
        <v>400</v>
      </c>
      <c r="G974" t="s">
        <v>402</v>
      </c>
      <c r="H974" t="s">
        <v>408</v>
      </c>
      <c r="I974" t="s">
        <v>410</v>
      </c>
      <c r="J974" t="s">
        <v>554</v>
      </c>
      <c r="K974" t="s">
        <v>582</v>
      </c>
    </row>
    <row r="975" spans="1:11" x14ac:dyDescent="0.35">
      <c r="A975" t="s">
        <v>89</v>
      </c>
      <c r="B975" t="s">
        <v>347</v>
      </c>
      <c r="C975">
        <v>4697.82</v>
      </c>
      <c r="D975" t="s">
        <v>396</v>
      </c>
      <c r="E975">
        <v>1</v>
      </c>
      <c r="F975" t="s">
        <v>398</v>
      </c>
      <c r="G975" t="s">
        <v>403</v>
      </c>
      <c r="H975" t="s">
        <v>404</v>
      </c>
      <c r="I975" t="s">
        <v>409</v>
      </c>
      <c r="J975" t="s">
        <v>554</v>
      </c>
      <c r="K975" t="s">
        <v>583</v>
      </c>
    </row>
    <row r="976" spans="1:11" x14ac:dyDescent="0.35">
      <c r="A976" t="s">
        <v>188</v>
      </c>
      <c r="B976" t="s">
        <v>228</v>
      </c>
      <c r="C976">
        <v>4224.9799999999996</v>
      </c>
      <c r="D976" t="s">
        <v>396</v>
      </c>
      <c r="E976">
        <v>5</v>
      </c>
      <c r="F976" t="s">
        <v>397</v>
      </c>
      <c r="G976" t="s">
        <v>402</v>
      </c>
      <c r="H976" t="s">
        <v>408</v>
      </c>
      <c r="I976" t="s">
        <v>409</v>
      </c>
      <c r="J976" t="s">
        <v>540</v>
      </c>
      <c r="K976" t="s">
        <v>582</v>
      </c>
    </row>
    <row r="977" spans="1:11" x14ac:dyDescent="0.35">
      <c r="A977" t="s">
        <v>88</v>
      </c>
      <c r="B977" t="s">
        <v>284</v>
      </c>
      <c r="C977">
        <v>4539.28</v>
      </c>
      <c r="D977" t="s">
        <v>393</v>
      </c>
      <c r="E977">
        <v>4</v>
      </c>
      <c r="F977" t="s">
        <v>398</v>
      </c>
      <c r="G977" t="s">
        <v>402</v>
      </c>
      <c r="H977" t="s">
        <v>407</v>
      </c>
      <c r="I977" t="s">
        <v>410</v>
      </c>
      <c r="J977" t="s">
        <v>451</v>
      </c>
      <c r="K977" t="s">
        <v>583</v>
      </c>
    </row>
    <row r="978" spans="1:11" x14ac:dyDescent="0.35">
      <c r="A978" t="s">
        <v>27</v>
      </c>
      <c r="B978" t="s">
        <v>275</v>
      </c>
      <c r="C978">
        <v>2820.37</v>
      </c>
      <c r="D978" t="s">
        <v>391</v>
      </c>
      <c r="E978">
        <v>1</v>
      </c>
      <c r="F978" t="s">
        <v>400</v>
      </c>
      <c r="G978" t="s">
        <v>402</v>
      </c>
      <c r="H978" t="s">
        <v>406</v>
      </c>
      <c r="I978" t="s">
        <v>410</v>
      </c>
      <c r="J978" t="s">
        <v>442</v>
      </c>
      <c r="K978" t="s">
        <v>583</v>
      </c>
    </row>
    <row r="979" spans="1:11" x14ac:dyDescent="0.35">
      <c r="A979" t="s">
        <v>154</v>
      </c>
      <c r="B979" t="s">
        <v>358</v>
      </c>
      <c r="C979">
        <v>4513.7</v>
      </c>
      <c r="D979" t="s">
        <v>394</v>
      </c>
      <c r="E979">
        <v>4</v>
      </c>
      <c r="F979" t="s">
        <v>398</v>
      </c>
      <c r="G979" t="s">
        <v>402</v>
      </c>
      <c r="H979" t="s">
        <v>408</v>
      </c>
      <c r="I979" t="s">
        <v>410</v>
      </c>
      <c r="J979" t="s">
        <v>572</v>
      </c>
      <c r="K979" t="s">
        <v>583</v>
      </c>
    </row>
    <row r="980" spans="1:11" x14ac:dyDescent="0.35">
      <c r="A980" t="s">
        <v>86</v>
      </c>
      <c r="B980" t="s">
        <v>390</v>
      </c>
      <c r="C980">
        <v>1458.45</v>
      </c>
      <c r="D980" t="s">
        <v>391</v>
      </c>
      <c r="E980">
        <v>2</v>
      </c>
      <c r="F980" t="s">
        <v>398</v>
      </c>
      <c r="G980" t="s">
        <v>403</v>
      </c>
      <c r="H980" t="s">
        <v>407</v>
      </c>
      <c r="I980" t="s">
        <v>409</v>
      </c>
      <c r="J980" t="s">
        <v>572</v>
      </c>
      <c r="K980" t="s">
        <v>582</v>
      </c>
    </row>
    <row r="981" spans="1:11" x14ac:dyDescent="0.35">
      <c r="A981" t="s">
        <v>103</v>
      </c>
      <c r="B981" t="s">
        <v>300</v>
      </c>
      <c r="C981">
        <v>804.83</v>
      </c>
      <c r="D981" t="s">
        <v>395</v>
      </c>
      <c r="E981">
        <v>3</v>
      </c>
      <c r="F981" t="s">
        <v>400</v>
      </c>
      <c r="G981" t="s">
        <v>403</v>
      </c>
      <c r="H981" t="s">
        <v>406</v>
      </c>
      <c r="I981" t="s">
        <v>410</v>
      </c>
      <c r="J981" t="s">
        <v>462</v>
      </c>
      <c r="K981" t="s">
        <v>583</v>
      </c>
    </row>
    <row r="982" spans="1:11" x14ac:dyDescent="0.35">
      <c r="A982" t="s">
        <v>191</v>
      </c>
      <c r="B982" t="s">
        <v>345</v>
      </c>
      <c r="C982">
        <v>2040.78</v>
      </c>
      <c r="D982" t="s">
        <v>393</v>
      </c>
      <c r="E982">
        <v>3</v>
      </c>
      <c r="F982" t="s">
        <v>397</v>
      </c>
      <c r="G982" t="s">
        <v>402</v>
      </c>
      <c r="H982" t="s">
        <v>406</v>
      </c>
      <c r="I982" t="s">
        <v>409</v>
      </c>
      <c r="J982" t="s">
        <v>562</v>
      </c>
      <c r="K982" t="s">
        <v>583</v>
      </c>
    </row>
    <row r="983" spans="1:11" x14ac:dyDescent="0.35">
      <c r="A983" t="s">
        <v>58</v>
      </c>
      <c r="B983" t="s">
        <v>315</v>
      </c>
      <c r="C983">
        <v>815.57</v>
      </c>
      <c r="D983" t="s">
        <v>393</v>
      </c>
      <c r="E983">
        <v>4</v>
      </c>
      <c r="F983" t="s">
        <v>398</v>
      </c>
      <c r="G983" t="s">
        <v>403</v>
      </c>
      <c r="H983" t="s">
        <v>407</v>
      </c>
      <c r="I983" t="s">
        <v>410</v>
      </c>
      <c r="J983" t="s">
        <v>494</v>
      </c>
      <c r="K983" t="s">
        <v>582</v>
      </c>
    </row>
    <row r="984" spans="1:11" x14ac:dyDescent="0.35">
      <c r="A984" t="s">
        <v>191</v>
      </c>
      <c r="B984" t="s">
        <v>255</v>
      </c>
      <c r="C984">
        <v>1174.5999999999999</v>
      </c>
      <c r="D984" t="s">
        <v>396</v>
      </c>
      <c r="E984">
        <v>5</v>
      </c>
      <c r="F984" t="s">
        <v>399</v>
      </c>
      <c r="G984" t="s">
        <v>403</v>
      </c>
      <c r="H984" t="s">
        <v>407</v>
      </c>
      <c r="I984" t="s">
        <v>410</v>
      </c>
      <c r="J984" t="s">
        <v>494</v>
      </c>
      <c r="K984" t="s">
        <v>582</v>
      </c>
    </row>
    <row r="985" spans="1:11" x14ac:dyDescent="0.35">
      <c r="A985" t="s">
        <v>133</v>
      </c>
      <c r="B985" t="s">
        <v>371</v>
      </c>
      <c r="C985">
        <v>2542.17</v>
      </c>
      <c r="D985" t="s">
        <v>391</v>
      </c>
      <c r="E985">
        <v>3</v>
      </c>
      <c r="F985" t="s">
        <v>398</v>
      </c>
      <c r="G985" t="s">
        <v>403</v>
      </c>
      <c r="H985" t="s">
        <v>407</v>
      </c>
      <c r="I985" t="s">
        <v>410</v>
      </c>
      <c r="J985" t="s">
        <v>494</v>
      </c>
      <c r="K985" t="s">
        <v>583</v>
      </c>
    </row>
    <row r="986" spans="1:11" x14ac:dyDescent="0.35">
      <c r="A986" t="s">
        <v>49</v>
      </c>
      <c r="B986" t="s">
        <v>294</v>
      </c>
      <c r="C986">
        <v>635.45000000000005</v>
      </c>
      <c r="D986" t="s">
        <v>395</v>
      </c>
      <c r="E986">
        <v>1</v>
      </c>
      <c r="F986" t="s">
        <v>398</v>
      </c>
      <c r="G986" t="s">
        <v>403</v>
      </c>
      <c r="H986" t="s">
        <v>408</v>
      </c>
      <c r="I986" t="s">
        <v>409</v>
      </c>
      <c r="J986" t="s">
        <v>459</v>
      </c>
      <c r="K986" t="s">
        <v>582</v>
      </c>
    </row>
    <row r="987" spans="1:11" x14ac:dyDescent="0.35">
      <c r="A987" t="s">
        <v>94</v>
      </c>
      <c r="B987" t="s">
        <v>265</v>
      </c>
      <c r="C987">
        <v>2458.66</v>
      </c>
      <c r="D987" t="s">
        <v>394</v>
      </c>
      <c r="E987">
        <v>5</v>
      </c>
      <c r="F987" t="s">
        <v>399</v>
      </c>
      <c r="G987" t="s">
        <v>403</v>
      </c>
      <c r="H987" t="s">
        <v>408</v>
      </c>
      <c r="I987" t="s">
        <v>409</v>
      </c>
      <c r="J987" t="s">
        <v>553</v>
      </c>
      <c r="K987" t="s">
        <v>582</v>
      </c>
    </row>
    <row r="988" spans="1:11" x14ac:dyDescent="0.35">
      <c r="A988" t="s">
        <v>137</v>
      </c>
      <c r="B988" t="s">
        <v>290</v>
      </c>
      <c r="C988">
        <v>3176.81</v>
      </c>
      <c r="D988" t="s">
        <v>391</v>
      </c>
      <c r="E988">
        <v>5</v>
      </c>
      <c r="F988" t="s">
        <v>397</v>
      </c>
      <c r="G988" t="s">
        <v>403</v>
      </c>
      <c r="H988" t="s">
        <v>408</v>
      </c>
      <c r="I988" t="s">
        <v>409</v>
      </c>
      <c r="J988" t="s">
        <v>553</v>
      </c>
      <c r="K988" t="s">
        <v>583</v>
      </c>
    </row>
    <row r="989" spans="1:11" x14ac:dyDescent="0.35">
      <c r="A989" t="s">
        <v>57</v>
      </c>
      <c r="B989" t="s">
        <v>265</v>
      </c>
      <c r="C989">
        <v>2289.48</v>
      </c>
      <c r="D989" t="s">
        <v>391</v>
      </c>
      <c r="E989">
        <v>5</v>
      </c>
      <c r="F989" t="s">
        <v>398</v>
      </c>
      <c r="G989" t="s">
        <v>402</v>
      </c>
      <c r="H989" t="s">
        <v>405</v>
      </c>
      <c r="I989" t="s">
        <v>409</v>
      </c>
      <c r="J989" t="s">
        <v>438</v>
      </c>
      <c r="K989" t="s">
        <v>582</v>
      </c>
    </row>
    <row r="990" spans="1:11" x14ac:dyDescent="0.35">
      <c r="A990" t="s">
        <v>75</v>
      </c>
      <c r="B990" t="s">
        <v>255</v>
      </c>
      <c r="C990">
        <v>3980.69</v>
      </c>
      <c r="D990" t="s">
        <v>394</v>
      </c>
      <c r="E990">
        <v>5</v>
      </c>
      <c r="F990" t="s">
        <v>400</v>
      </c>
      <c r="G990" t="s">
        <v>402</v>
      </c>
      <c r="H990" t="s">
        <v>404</v>
      </c>
      <c r="I990" t="s">
        <v>409</v>
      </c>
      <c r="J990" t="s">
        <v>438</v>
      </c>
      <c r="K990" t="s">
        <v>582</v>
      </c>
    </row>
    <row r="991" spans="1:11" x14ac:dyDescent="0.35">
      <c r="A991" t="s">
        <v>45</v>
      </c>
      <c r="B991" t="s">
        <v>318</v>
      </c>
      <c r="C991">
        <v>3727.17</v>
      </c>
      <c r="D991" t="s">
        <v>391</v>
      </c>
      <c r="E991">
        <v>2</v>
      </c>
      <c r="F991" t="s">
        <v>400</v>
      </c>
      <c r="G991" t="s">
        <v>403</v>
      </c>
      <c r="H991" t="s">
        <v>407</v>
      </c>
      <c r="I991" t="s">
        <v>410</v>
      </c>
      <c r="J991" t="s">
        <v>549</v>
      </c>
      <c r="K991" t="s">
        <v>582</v>
      </c>
    </row>
    <row r="992" spans="1:11" x14ac:dyDescent="0.35">
      <c r="A992" t="s">
        <v>21</v>
      </c>
      <c r="B992" t="s">
        <v>328</v>
      </c>
      <c r="C992">
        <v>3024.13</v>
      </c>
      <c r="D992" t="s">
        <v>395</v>
      </c>
      <c r="E992">
        <v>2</v>
      </c>
      <c r="F992" t="s">
        <v>397</v>
      </c>
      <c r="G992" t="s">
        <v>403</v>
      </c>
      <c r="H992" t="s">
        <v>405</v>
      </c>
      <c r="I992" t="s">
        <v>410</v>
      </c>
      <c r="J992" t="s">
        <v>483</v>
      </c>
      <c r="K992" t="s">
        <v>582</v>
      </c>
    </row>
    <row r="993" spans="1:11" x14ac:dyDescent="0.35">
      <c r="A993" t="s">
        <v>111</v>
      </c>
      <c r="B993" t="s">
        <v>228</v>
      </c>
      <c r="C993">
        <v>824.55</v>
      </c>
      <c r="D993" t="s">
        <v>393</v>
      </c>
      <c r="E993">
        <v>4</v>
      </c>
      <c r="F993" t="s">
        <v>401</v>
      </c>
      <c r="G993" t="s">
        <v>402</v>
      </c>
      <c r="H993" t="s">
        <v>408</v>
      </c>
      <c r="I993" t="s">
        <v>409</v>
      </c>
      <c r="J993" t="s">
        <v>466</v>
      </c>
      <c r="K993" t="s">
        <v>583</v>
      </c>
    </row>
    <row r="994" spans="1:11" x14ac:dyDescent="0.35">
      <c r="A994" t="s">
        <v>33</v>
      </c>
      <c r="B994" t="s">
        <v>235</v>
      </c>
      <c r="C994">
        <v>3191.37</v>
      </c>
      <c r="D994" t="s">
        <v>395</v>
      </c>
      <c r="E994">
        <v>5</v>
      </c>
      <c r="F994" t="s">
        <v>401</v>
      </c>
      <c r="G994" t="s">
        <v>402</v>
      </c>
      <c r="H994" t="s">
        <v>404</v>
      </c>
      <c r="I994" t="s">
        <v>410</v>
      </c>
      <c r="J994" t="s">
        <v>466</v>
      </c>
      <c r="K994" t="s">
        <v>582</v>
      </c>
    </row>
    <row r="995" spans="1:11" x14ac:dyDescent="0.35">
      <c r="A995" t="s">
        <v>111</v>
      </c>
      <c r="B995" t="s">
        <v>315</v>
      </c>
      <c r="C995">
        <v>1294.6400000000001</v>
      </c>
      <c r="D995" t="s">
        <v>391</v>
      </c>
      <c r="E995">
        <v>2</v>
      </c>
      <c r="F995" t="s">
        <v>398</v>
      </c>
      <c r="G995" t="s">
        <v>403</v>
      </c>
      <c r="H995" t="s">
        <v>407</v>
      </c>
      <c r="I995" t="s">
        <v>409</v>
      </c>
      <c r="J995" t="s">
        <v>561</v>
      </c>
      <c r="K995" t="s">
        <v>582</v>
      </c>
    </row>
    <row r="996" spans="1:11" x14ac:dyDescent="0.35">
      <c r="A996" t="s">
        <v>182</v>
      </c>
      <c r="B996" t="s">
        <v>235</v>
      </c>
      <c r="C996">
        <v>1325.59</v>
      </c>
      <c r="D996" t="s">
        <v>394</v>
      </c>
      <c r="E996">
        <v>3</v>
      </c>
      <c r="F996" t="s">
        <v>400</v>
      </c>
      <c r="G996" t="s">
        <v>403</v>
      </c>
      <c r="H996" t="s">
        <v>408</v>
      </c>
      <c r="I996" t="s">
        <v>410</v>
      </c>
      <c r="J996" t="s">
        <v>578</v>
      </c>
      <c r="K996" t="s">
        <v>582</v>
      </c>
    </row>
    <row r="997" spans="1:11" x14ac:dyDescent="0.35">
      <c r="A997" t="s">
        <v>152</v>
      </c>
      <c r="B997" t="s">
        <v>307</v>
      </c>
      <c r="C997">
        <v>356.82</v>
      </c>
      <c r="D997" t="s">
        <v>394</v>
      </c>
      <c r="E997">
        <v>4</v>
      </c>
      <c r="F997" t="s">
        <v>401</v>
      </c>
      <c r="G997" t="s">
        <v>402</v>
      </c>
      <c r="H997" t="s">
        <v>405</v>
      </c>
      <c r="I997" t="s">
        <v>410</v>
      </c>
      <c r="J997" t="s">
        <v>568</v>
      </c>
      <c r="K997" t="s">
        <v>582</v>
      </c>
    </row>
    <row r="998" spans="1:11" x14ac:dyDescent="0.35">
      <c r="A998" t="s">
        <v>30</v>
      </c>
      <c r="B998" t="s">
        <v>228</v>
      </c>
      <c r="C998">
        <v>3395.15</v>
      </c>
      <c r="D998" t="s">
        <v>395</v>
      </c>
      <c r="E998">
        <v>5</v>
      </c>
      <c r="F998" t="s">
        <v>400</v>
      </c>
      <c r="G998" t="s">
        <v>402</v>
      </c>
      <c r="H998" t="s">
        <v>408</v>
      </c>
      <c r="I998" t="s">
        <v>409</v>
      </c>
      <c r="J998" t="s">
        <v>425</v>
      </c>
      <c r="K998" t="s">
        <v>582</v>
      </c>
    </row>
    <row r="999" spans="1:11" x14ac:dyDescent="0.35">
      <c r="A999" t="s">
        <v>145</v>
      </c>
      <c r="B999" t="s">
        <v>318</v>
      </c>
      <c r="C999">
        <v>4172.25</v>
      </c>
      <c r="D999" t="s">
        <v>394</v>
      </c>
      <c r="E999">
        <v>1</v>
      </c>
      <c r="F999" t="s">
        <v>399</v>
      </c>
      <c r="G999" t="s">
        <v>403</v>
      </c>
      <c r="H999" t="s">
        <v>404</v>
      </c>
      <c r="I999" t="s">
        <v>409</v>
      </c>
      <c r="J999" t="s">
        <v>555</v>
      </c>
      <c r="K999" t="s">
        <v>582</v>
      </c>
    </row>
    <row r="1000" spans="1:11" x14ac:dyDescent="0.35">
      <c r="A1000" t="s">
        <v>128</v>
      </c>
      <c r="B1000" t="s">
        <v>307</v>
      </c>
      <c r="C1000">
        <v>2631.21</v>
      </c>
      <c r="D1000" t="s">
        <v>394</v>
      </c>
      <c r="E1000">
        <v>3</v>
      </c>
      <c r="F1000" t="s">
        <v>401</v>
      </c>
      <c r="G1000" t="s">
        <v>403</v>
      </c>
      <c r="H1000" t="s">
        <v>405</v>
      </c>
      <c r="I1000" t="s">
        <v>410</v>
      </c>
      <c r="J1000" t="s">
        <v>543</v>
      </c>
      <c r="K1000" t="s">
        <v>582</v>
      </c>
    </row>
    <row r="1001" spans="1:11" x14ac:dyDescent="0.35">
      <c r="A1001" t="s">
        <v>33</v>
      </c>
      <c r="B1001" t="s">
        <v>263</v>
      </c>
      <c r="C1001">
        <v>3946.35</v>
      </c>
      <c r="D1001" t="s">
        <v>396</v>
      </c>
      <c r="E1001">
        <v>2</v>
      </c>
      <c r="F1001" t="s">
        <v>399</v>
      </c>
      <c r="G1001" t="s">
        <v>402</v>
      </c>
      <c r="H1001" t="s">
        <v>406</v>
      </c>
      <c r="I1001" t="s">
        <v>410</v>
      </c>
      <c r="J1001" t="s">
        <v>473</v>
      </c>
      <c r="K1001" t="s">
        <v>582</v>
      </c>
    </row>
  </sheetData>
  <conditionalFormatting sqref="J1:J1048576">
    <cfRule type="timePeriod" dxfId="0" priority="1" timePeriod="yesterday">
      <formula>FLOOR(J1,1)=TODAY()-1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DE1A4-FE3B-4E3A-BDDF-8AA9F0612127}">
  <dimension ref="A1:S201"/>
  <sheetViews>
    <sheetView topLeftCell="C1" zoomScale="82" zoomScaleNormal="82" workbookViewId="0">
      <selection activeCell="E2" sqref="E2"/>
    </sheetView>
  </sheetViews>
  <sheetFormatPr defaultRowHeight="14.5" x14ac:dyDescent="0.35"/>
  <cols>
    <col min="1" max="1" width="14.08984375" customWidth="1"/>
    <col min="2" max="2" width="19.26953125" style="3" customWidth="1"/>
    <col min="3" max="3" width="11.36328125" customWidth="1"/>
    <col min="4" max="4" width="11.08984375" style="4" bestFit="1" customWidth="1"/>
    <col min="8" max="8" width="10.1796875" customWidth="1"/>
    <col min="9" max="9" width="19" customWidth="1"/>
    <col min="17" max="17" width="11.08984375" bestFit="1" customWidth="1"/>
  </cols>
  <sheetData>
    <row r="1" spans="1:19" x14ac:dyDescent="0.35">
      <c r="A1" t="s">
        <v>584</v>
      </c>
      <c r="B1" s="3" t="s">
        <v>585</v>
      </c>
      <c r="C1" t="s">
        <v>586</v>
      </c>
      <c r="D1" s="4" t="s">
        <v>587</v>
      </c>
      <c r="E1" t="s">
        <v>588</v>
      </c>
      <c r="F1" t="s">
        <v>589</v>
      </c>
      <c r="G1" t="s">
        <v>590</v>
      </c>
      <c r="H1" t="s">
        <v>597</v>
      </c>
      <c r="I1" t="s">
        <v>598</v>
      </c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x14ac:dyDescent="0.35">
      <c r="A2" t="str" cm="1">
        <f t="array" ref="A2:A201">_xlfn.UNIQUE(Sheet1!A2:A1002)</f>
        <v>CUST0036</v>
      </c>
      <c r="B2" s="3">
        <f ca="1">TODAY()-Sheet1!B2</f>
        <v>3</v>
      </c>
      <c r="C2" s="3">
        <f>COUNTIFS(Sheet1!A2:A1001,A2)</f>
        <v>5</v>
      </c>
      <c r="D2" s="4">
        <v>9241.01</v>
      </c>
      <c r="E2" cm="1">
        <f t="array" aca="1" ref="E2" ca="1">_xlfn.IFS(B2&lt;=30,5,B2&lt;=60,4,B2&lt;=90,3,B2&lt;=120,2,TRUE,1)</f>
        <v>5</v>
      </c>
      <c r="F2" cm="1">
        <f t="array" ref="F2">_xlfn.IFS(C2&gt;=8,5,C2&gt;=5,4,C2&gt;=3,3,C2&gt;=2,2,TRUE,1)</f>
        <v>4</v>
      </c>
      <c r="G2" cm="1">
        <f t="array" ref="G2">_xlfn.IFS(D2&gt;=15000,5,D2&gt;=8000,4,D2&gt;=3000,3,D2&gt;=1000,2,TRUE,1)</f>
        <v>4</v>
      </c>
      <c r="H2" t="str">
        <f ca="1">E2&amp;F2&amp;G2</f>
        <v>544</v>
      </c>
      <c r="I2" t="str" cm="1">
        <f t="array" aca="1" ref="I2" ca="1">_xlfn.IFS(
  H2="555","Champions",
  VALUE(LEFT(H2,2))&gt;=54,"Loyal Customers",
  VALUE(LEFT(H2,1))&gt;=4,"Potential Loyalists",
  VALUE(RIGHT(H2,2))&gt;=45,"New Customers",
  VALUE(LEFT(H2,1))&lt;=2,"At Risk",
  VALUE(LEFT(H2,1))&lt;=1,"Can't Lose",
  TRUE,"Others"
)</f>
        <v>Loyal Customers</v>
      </c>
      <c r="J2" s="18"/>
      <c r="K2" s="18"/>
      <c r="L2" s="18"/>
      <c r="M2" s="18"/>
      <c r="N2" s="18"/>
      <c r="O2" s="18"/>
      <c r="P2" s="18"/>
      <c r="Q2" s="18"/>
      <c r="R2" s="18"/>
      <c r="S2" s="7"/>
    </row>
    <row r="3" spans="1:19" x14ac:dyDescent="0.35">
      <c r="A3" t="str">
        <v>CUST0095</v>
      </c>
      <c r="B3" s="3">
        <f ca="1">TODAY()-Sheet1!B3</f>
        <v>10</v>
      </c>
      <c r="C3" s="3">
        <f>COUNTIFS(Sheet1!A3:A1002,A3)</f>
        <v>3</v>
      </c>
      <c r="D3" s="4">
        <v>16218.84</v>
      </c>
      <c r="E3" cm="1">
        <f t="array" aca="1" ref="E3" ca="1">_xlfn.IFS(B3&lt;=30,5,B3&lt;=60,4,B3&lt;=90,3,B3&lt;=120,2,TRUE,1)</f>
        <v>5</v>
      </c>
      <c r="F3" cm="1">
        <f t="array" ref="F3">_xlfn.IFS(C3&gt;=8,5,C3&gt;=5,4,C3&gt;=3,3,C3&gt;=2,2,TRUE,1)</f>
        <v>3</v>
      </c>
      <c r="G3" cm="1">
        <f t="array" ref="G3">_xlfn.IFS(D3&gt;=15000,5,D3&gt;=8000,4,D3&gt;=3000,3,D3&gt;=1000,2,TRUE,1)</f>
        <v>5</v>
      </c>
      <c r="H3" t="str">
        <f t="shared" ref="H3:H66" ca="1" si="0">E3&amp;F3&amp;G3</f>
        <v>535</v>
      </c>
      <c r="I3" t="str" cm="1">
        <f t="array" aca="1" ref="I3" ca="1">_xlfn.IFS(
  H3="555","Champions",
  VALUE(LEFT(H3,2))&gt;=54,"Loyal Customers",
  VALUE(LEFT(H3,1))&gt;=4,"Potential Loyalists",
  VALUE(RIGHT(H3,2))&gt;=45,"New Customers",
  VALUE(LEFT(H3,1))&lt;=2,"At Risk",
  VALUE(LEFT(H3,1))&lt;=1,"Can't Lose",
  TRUE,"Others"
)</f>
        <v>Potential Loyalists</v>
      </c>
      <c r="J3" s="18"/>
      <c r="K3" s="18"/>
      <c r="L3" s="18"/>
      <c r="M3" s="18"/>
      <c r="N3" s="18"/>
      <c r="O3" s="18"/>
      <c r="P3" s="18"/>
      <c r="Q3" s="18"/>
      <c r="R3" s="18"/>
      <c r="S3" s="7"/>
    </row>
    <row r="4" spans="1:19" x14ac:dyDescent="0.35">
      <c r="A4" t="str">
        <v>CUST0196</v>
      </c>
      <c r="B4" s="3">
        <f ca="1">TODAY()-Sheet1!B4</f>
        <v>3</v>
      </c>
      <c r="C4" s="3">
        <f>COUNTIFS(Sheet1!A4:A1003,A4)</f>
        <v>7</v>
      </c>
      <c r="D4" s="4">
        <v>24755.529999999995</v>
      </c>
      <c r="E4" cm="1">
        <f t="array" aca="1" ref="E4" ca="1">_xlfn.IFS(B4&lt;=30,5,B4&lt;=60,4,B4&lt;=90,3,B4&lt;=120,2,TRUE,1)</f>
        <v>5</v>
      </c>
      <c r="F4" cm="1">
        <f t="array" ref="F4">_xlfn.IFS(C4&gt;=8,5,C4&gt;=5,4,C4&gt;=3,3,C4&gt;=2,2,TRUE,1)</f>
        <v>4</v>
      </c>
      <c r="G4" cm="1">
        <f t="array" ref="G4">_xlfn.IFS(D4&gt;=15000,5,D4&gt;=8000,4,D4&gt;=3000,3,D4&gt;=1000,2,TRUE,1)</f>
        <v>5</v>
      </c>
      <c r="H4" t="str">
        <f t="shared" ca="1" si="0"/>
        <v>545</v>
      </c>
      <c r="I4" t="str" cm="1">
        <f t="array" aca="1" ref="I4" ca="1">_xlfn.IFS(
  H4="555","Champions",
  VALUE(LEFT(H4,2))&gt;=54,"Loyal Customers",
  VALUE(LEFT(H4,1))&gt;=4,"Potential Loyalists",
  VALUE(RIGHT(H4,2))&gt;=45,"New Customers",
  VALUE(LEFT(H4,1))&lt;=2,"At Risk",
  VALUE(LEFT(H4,1))&lt;=1,"Can't Lose",
  TRUE,"Others"
)</f>
        <v>Loyal Customers</v>
      </c>
      <c r="J4" s="18"/>
      <c r="K4" s="18"/>
      <c r="L4" s="18"/>
      <c r="M4" s="18"/>
      <c r="N4" s="18"/>
      <c r="O4" s="18"/>
      <c r="P4" s="18"/>
      <c r="Q4" s="18"/>
      <c r="R4" s="18"/>
      <c r="S4" s="7"/>
    </row>
    <row r="5" spans="1:19" x14ac:dyDescent="0.35">
      <c r="A5" t="str">
        <v>CUST0173</v>
      </c>
      <c r="B5" s="3">
        <f ca="1">TODAY()-Sheet1!B5</f>
        <v>22</v>
      </c>
      <c r="C5" s="3">
        <f>COUNTIFS(Sheet1!A5:A1004,A5)</f>
        <v>8</v>
      </c>
      <c r="D5" s="4">
        <v>9619.4499999999989</v>
      </c>
      <c r="E5" cm="1">
        <f t="array" aca="1" ref="E5" ca="1">_xlfn.IFS(B5&lt;=30,5,B5&lt;=60,4,B5&lt;=90,3,B5&lt;=120,2,TRUE,1)</f>
        <v>5</v>
      </c>
      <c r="F5" cm="1">
        <f t="array" ref="F5">_xlfn.IFS(C5&gt;=8,5,C5&gt;=5,4,C5&gt;=3,3,C5&gt;=2,2,TRUE,1)</f>
        <v>5</v>
      </c>
      <c r="G5" cm="1">
        <f t="array" ref="G5">_xlfn.IFS(D5&gt;=15000,5,D5&gt;=8000,4,D5&gt;=3000,3,D5&gt;=1000,2,TRUE,1)</f>
        <v>4</v>
      </c>
      <c r="H5" t="str">
        <f t="shared" ca="1" si="0"/>
        <v>554</v>
      </c>
      <c r="I5" t="str" cm="1">
        <f t="array" aca="1" ref="I5" ca="1">_xlfn.IFS(
  H5="555","Champions",
  VALUE(LEFT(H5,2))&gt;=54,"Loyal Customers",
  VALUE(LEFT(H5,1))&gt;=4,"Potential Loyalists",
  VALUE(RIGHT(H5,2))&gt;=45,"New Customers",
  VALUE(LEFT(H5,1))&lt;=2,"At Risk",
  VALUE(LEFT(H5,1))&lt;=1,"Can't Lose",
  TRUE,"Others"
)</f>
        <v>Loyal Customers</v>
      </c>
      <c r="J5" s="18"/>
      <c r="K5" s="18"/>
      <c r="L5" s="18"/>
      <c r="M5" s="18"/>
      <c r="N5" s="18"/>
      <c r="O5" s="18"/>
      <c r="P5" s="18"/>
      <c r="Q5" s="18"/>
      <c r="R5" s="18"/>
      <c r="S5" s="7"/>
    </row>
    <row r="6" spans="1:19" x14ac:dyDescent="0.35">
      <c r="A6" t="str">
        <v>CUST0151</v>
      </c>
      <c r="B6" s="3">
        <f ca="1">TODAY()-Sheet1!B6</f>
        <v>25</v>
      </c>
      <c r="C6" s="3">
        <f>COUNTIFS(Sheet1!A6:A1005,A6)</f>
        <v>2</v>
      </c>
      <c r="D6" s="4">
        <v>19021.899999999998</v>
      </c>
      <c r="E6" cm="1">
        <f t="array" aca="1" ref="E6" ca="1">_xlfn.IFS(B6&lt;=30,5,B6&lt;=60,4,B6&lt;=90,3,B6&lt;=120,2,TRUE,1)</f>
        <v>5</v>
      </c>
      <c r="F6" cm="1">
        <f t="array" ref="F6">_xlfn.IFS(C6&gt;=8,5,C6&gt;=5,4,C6&gt;=3,3,C6&gt;=2,2,TRUE,1)</f>
        <v>2</v>
      </c>
      <c r="G6" cm="1">
        <f t="array" ref="G6">_xlfn.IFS(D6&gt;=15000,5,D6&gt;=8000,4,D6&gt;=3000,3,D6&gt;=1000,2,TRUE,1)</f>
        <v>5</v>
      </c>
      <c r="H6" t="str">
        <f t="shared" ca="1" si="0"/>
        <v>525</v>
      </c>
      <c r="I6" t="str" cm="1">
        <f t="array" aca="1" ref="I6" ca="1">_xlfn.IFS(
  H6="555","Champions",
  VALUE(LEFT(H6,2))&gt;=54,"Loyal Customers",
  VALUE(LEFT(H6,1))&gt;=4,"Potential Loyalists",
  VALUE(RIGHT(H6,2))&gt;=45,"New Customers",
  VALUE(LEFT(H6,1))&lt;=2,"At Risk",
  VALUE(LEFT(H6,1))&lt;=1,"Can't Lose",
  TRUE,"Others"
)</f>
        <v>Potential Loyalists</v>
      </c>
      <c r="J6" s="18"/>
      <c r="K6" s="18"/>
      <c r="L6" s="18"/>
      <c r="M6" s="18"/>
      <c r="N6" s="18"/>
      <c r="O6" s="18"/>
      <c r="P6" s="18"/>
      <c r="Q6" s="18"/>
      <c r="R6" s="18"/>
      <c r="S6" s="7"/>
    </row>
    <row r="7" spans="1:19" x14ac:dyDescent="0.35">
      <c r="A7" t="str">
        <v>CUST0028</v>
      </c>
      <c r="B7" s="3">
        <f ca="1">TODAY()-Sheet1!B7</f>
        <v>23</v>
      </c>
      <c r="C7" s="3">
        <f>COUNTIFS(Sheet1!A7:A1006,A7)</f>
        <v>7</v>
      </c>
      <c r="D7" s="4">
        <v>22306.58</v>
      </c>
      <c r="E7" cm="1">
        <f t="array" aca="1" ref="E7" ca="1">_xlfn.IFS(B7&lt;=30,5,B7&lt;=60,4,B7&lt;=90,3,B7&lt;=120,2,TRUE,1)</f>
        <v>5</v>
      </c>
      <c r="F7" cm="1">
        <f t="array" ref="F7">_xlfn.IFS(C7&gt;=8,5,C7&gt;=5,4,C7&gt;=3,3,C7&gt;=2,2,TRUE,1)</f>
        <v>4</v>
      </c>
      <c r="G7" cm="1">
        <f t="array" ref="G7">_xlfn.IFS(D7&gt;=15000,5,D7&gt;=8000,4,D7&gt;=3000,3,D7&gt;=1000,2,TRUE,1)</f>
        <v>5</v>
      </c>
      <c r="H7" t="str">
        <f t="shared" ca="1" si="0"/>
        <v>545</v>
      </c>
      <c r="I7" t="str" cm="1">
        <f t="array" aca="1" ref="I7" ca="1">_xlfn.IFS(
  H7="555","Champions",
  VALUE(LEFT(H7,2))&gt;=54,"Loyal Customers",
  VALUE(LEFT(H7,1))&gt;=4,"Potential Loyalists",
  VALUE(RIGHT(H7,2))&gt;=45,"New Customers",
  VALUE(LEFT(H7,1))&lt;=2,"At Risk",
  VALUE(LEFT(H7,1))&lt;=1,"Can't Lose",
  TRUE,"Others"
)</f>
        <v>Loyal Customers</v>
      </c>
      <c r="J7" s="18"/>
      <c r="K7" s="18"/>
      <c r="L7" s="18"/>
      <c r="M7" s="18"/>
      <c r="N7" s="18"/>
      <c r="O7" s="18"/>
      <c r="P7" s="18"/>
      <c r="Q7" s="18"/>
      <c r="R7" s="18"/>
      <c r="S7" s="7"/>
    </row>
    <row r="8" spans="1:19" x14ac:dyDescent="0.35">
      <c r="A8" t="str">
        <v>CUST0147</v>
      </c>
      <c r="B8" s="3">
        <f ca="1">TODAY()-Sheet1!B8</f>
        <v>22</v>
      </c>
      <c r="C8" s="3">
        <f>COUNTIFS(Sheet1!A8:A1007,A8)</f>
        <v>7</v>
      </c>
      <c r="D8" s="4">
        <v>4046.4</v>
      </c>
      <c r="E8" cm="1">
        <f t="array" aca="1" ref="E8" ca="1">_xlfn.IFS(B8&lt;=30,5,B8&lt;=60,4,B8&lt;=90,3,B8&lt;=120,2,TRUE,1)</f>
        <v>5</v>
      </c>
      <c r="F8" cm="1">
        <f t="array" ref="F8">_xlfn.IFS(C8&gt;=8,5,C8&gt;=5,4,C8&gt;=3,3,C8&gt;=2,2,TRUE,1)</f>
        <v>4</v>
      </c>
      <c r="G8" cm="1">
        <f t="array" ref="G8">_xlfn.IFS(D8&gt;=15000,5,D8&gt;=8000,4,D8&gt;=3000,3,D8&gt;=1000,2,TRUE,1)</f>
        <v>3</v>
      </c>
      <c r="H8" t="str">
        <f t="shared" ca="1" si="0"/>
        <v>543</v>
      </c>
      <c r="I8" t="str" cm="1">
        <f t="array" aca="1" ref="I8" ca="1">_xlfn.IFS(
  H8="555","Champions",
  VALUE(LEFT(H8,2))&gt;=54,"Loyal Customers",
  VALUE(LEFT(H8,1))&gt;=4,"Potential Loyalists",
  VALUE(RIGHT(H8,2))&gt;=45,"New Customers",
  VALUE(LEFT(H8,1))&lt;=2,"At Risk",
  VALUE(LEFT(H8,1))&lt;=1,"Can't Lose",
  TRUE,"Others"
)</f>
        <v>Loyal Customers</v>
      </c>
      <c r="J8" s="18"/>
      <c r="K8" s="18"/>
      <c r="L8" s="18"/>
      <c r="M8" s="18"/>
      <c r="N8" s="18"/>
      <c r="O8" s="18"/>
      <c r="P8" s="18"/>
      <c r="Q8" s="18"/>
      <c r="R8" s="18"/>
      <c r="S8" s="7"/>
    </row>
    <row r="9" spans="1:19" x14ac:dyDescent="0.35">
      <c r="A9" t="str">
        <v>CUST0078</v>
      </c>
      <c r="B9" s="3">
        <f ca="1">TODAY()-Sheet1!B9</f>
        <v>10</v>
      </c>
      <c r="C9" s="3">
        <f>COUNTIFS(Sheet1!A9:A1008,A9)</f>
        <v>5</v>
      </c>
      <c r="D9" s="4">
        <v>11218.89</v>
      </c>
      <c r="E9" cm="1">
        <f t="array" aca="1" ref="E9" ca="1">_xlfn.IFS(B9&lt;=30,5,B9&lt;=60,4,B9&lt;=90,3,B9&lt;=120,2,TRUE,1)</f>
        <v>5</v>
      </c>
      <c r="F9" cm="1">
        <f t="array" ref="F9">_xlfn.IFS(C9&gt;=8,5,C9&gt;=5,4,C9&gt;=3,3,C9&gt;=2,2,TRUE,1)</f>
        <v>4</v>
      </c>
      <c r="G9" cm="1">
        <f t="array" ref="G9">_xlfn.IFS(D9&gt;=15000,5,D9&gt;=8000,4,D9&gt;=3000,3,D9&gt;=1000,2,TRUE,1)</f>
        <v>4</v>
      </c>
      <c r="H9" t="str">
        <f t="shared" ca="1" si="0"/>
        <v>544</v>
      </c>
      <c r="I9" t="str" cm="1">
        <f t="array" aca="1" ref="I9" ca="1">_xlfn.IFS(
  H9="555","Champions",
  VALUE(LEFT(H9,2))&gt;=54,"Loyal Customers",
  VALUE(LEFT(H9,1))&gt;=4,"Potential Loyalists",
  VALUE(RIGHT(H9,2))&gt;=45,"New Customers",
  VALUE(LEFT(H9,1))&lt;=2,"At Risk",
  VALUE(LEFT(H9,1))&lt;=1,"Can't Lose",
  TRUE,"Others"
)</f>
        <v>Loyal Customers</v>
      </c>
      <c r="J9" s="18"/>
      <c r="K9" s="18"/>
      <c r="L9" s="18"/>
      <c r="M9" s="18"/>
      <c r="N9" s="18"/>
      <c r="O9" s="18"/>
      <c r="P9" s="18"/>
      <c r="Q9" s="18"/>
      <c r="R9" s="18"/>
      <c r="S9" s="7"/>
    </row>
    <row r="10" spans="1:19" x14ac:dyDescent="0.35">
      <c r="A10" t="str">
        <v>CUST0183</v>
      </c>
      <c r="B10" s="3">
        <f ca="1">TODAY()-Sheet1!B10</f>
        <v>12</v>
      </c>
      <c r="C10" s="3">
        <f>COUNTIFS(Sheet1!A10:A1009,A10)</f>
        <v>5</v>
      </c>
      <c r="D10" s="4">
        <v>9473.6400000000012</v>
      </c>
      <c r="E10" cm="1">
        <f t="array" aca="1" ref="E10" ca="1">_xlfn.IFS(B10&lt;=30,5,B10&lt;=60,4,B10&lt;=90,3,B10&lt;=120,2,TRUE,1)</f>
        <v>5</v>
      </c>
      <c r="F10" cm="1">
        <f t="array" ref="F10">_xlfn.IFS(C10&gt;=8,5,C10&gt;=5,4,C10&gt;=3,3,C10&gt;=2,2,TRUE,1)</f>
        <v>4</v>
      </c>
      <c r="G10" cm="1">
        <f t="array" ref="G10">_xlfn.IFS(D10&gt;=15000,5,D10&gt;=8000,4,D10&gt;=3000,3,D10&gt;=1000,2,TRUE,1)</f>
        <v>4</v>
      </c>
      <c r="H10" t="str">
        <f t="shared" ca="1" si="0"/>
        <v>544</v>
      </c>
      <c r="I10" t="str" cm="1">
        <f t="array" aca="1" ref="I10" ca="1">_xlfn.IFS(
  H10="555","Champions",
  VALUE(LEFT(H10,2))&gt;=54,"Loyal Customers",
  VALUE(LEFT(H10,1))&gt;=4,"Potential Loyalists",
  VALUE(RIGHT(H10,2))&gt;=45,"New Customers",
  VALUE(LEFT(H10,1))&lt;=2,"At Risk",
  VALUE(LEFT(H10,1))&lt;=1,"Can't Lose",
  TRUE,"Others"
)</f>
        <v>Loyal Customers</v>
      </c>
      <c r="J10" s="18"/>
      <c r="K10" s="18"/>
      <c r="L10" s="18"/>
      <c r="M10" s="18"/>
      <c r="N10" s="18"/>
      <c r="O10" s="18"/>
      <c r="P10" s="18"/>
      <c r="Q10" s="18"/>
      <c r="R10" s="18"/>
      <c r="S10" s="7"/>
    </row>
    <row r="11" spans="1:19" x14ac:dyDescent="0.35">
      <c r="A11" t="str">
        <v>CUST0139</v>
      </c>
      <c r="B11" s="3">
        <f ca="1">TODAY()-Sheet1!B11</f>
        <v>20</v>
      </c>
      <c r="C11" s="3">
        <f>COUNTIFS(Sheet1!A11:A1010,A11)</f>
        <v>6</v>
      </c>
      <c r="D11" s="4">
        <v>26656.27</v>
      </c>
      <c r="E11" cm="1">
        <f t="array" aca="1" ref="E11" ca="1">_xlfn.IFS(B11&lt;=30,5,B11&lt;=60,4,B11&lt;=90,3,B11&lt;=120,2,TRUE,1)</f>
        <v>5</v>
      </c>
      <c r="F11" cm="1">
        <f t="array" ref="F11">_xlfn.IFS(C11&gt;=8,5,C11&gt;=5,4,C11&gt;=3,3,C11&gt;=2,2,TRUE,1)</f>
        <v>4</v>
      </c>
      <c r="G11" cm="1">
        <f t="array" ref="G11">_xlfn.IFS(D11&gt;=15000,5,D11&gt;=8000,4,D11&gt;=3000,3,D11&gt;=1000,2,TRUE,1)</f>
        <v>5</v>
      </c>
      <c r="H11" t="str">
        <f t="shared" ca="1" si="0"/>
        <v>545</v>
      </c>
      <c r="I11" t="str" cm="1">
        <f t="array" aca="1" ref="I11" ca="1">_xlfn.IFS(
  H11="555","Champions",
  VALUE(LEFT(H11,2))&gt;=54,"Loyal Customers",
  VALUE(LEFT(H11,1))&gt;=4,"Potential Loyalists",
  VALUE(RIGHT(H11,2))&gt;=45,"New Customers",
  VALUE(LEFT(H11,1))&lt;=2,"At Risk",
  VALUE(LEFT(H11,1))&lt;=1,"Can't Lose",
  TRUE,"Others"
)</f>
        <v>Loyal Customers</v>
      </c>
      <c r="J11" s="18"/>
      <c r="K11" s="18"/>
      <c r="L11" s="18"/>
      <c r="M11" s="18"/>
      <c r="N11" s="18"/>
      <c r="O11" s="18"/>
      <c r="P11" s="18"/>
      <c r="Q11" s="18"/>
      <c r="R11" s="18"/>
      <c r="S11" s="7"/>
    </row>
    <row r="12" spans="1:19" x14ac:dyDescent="0.35">
      <c r="A12" t="str">
        <v>CUST0138</v>
      </c>
      <c r="B12" s="3">
        <f ca="1">TODAY()-Sheet1!B12</f>
        <v>13</v>
      </c>
      <c r="C12" s="3">
        <f>COUNTIFS(Sheet1!A12:A1011,A12)</f>
        <v>6</v>
      </c>
      <c r="D12" s="4">
        <v>14973.86</v>
      </c>
      <c r="E12" cm="1">
        <f t="array" aca="1" ref="E12" ca="1">_xlfn.IFS(B12&lt;=30,5,B12&lt;=60,4,B12&lt;=90,3,B12&lt;=120,2,TRUE,1)</f>
        <v>5</v>
      </c>
      <c r="F12" cm="1">
        <f t="array" ref="F12">_xlfn.IFS(C12&gt;=8,5,C12&gt;=5,4,C12&gt;=3,3,C12&gt;=2,2,TRUE,1)</f>
        <v>4</v>
      </c>
      <c r="G12" cm="1">
        <f t="array" ref="G12">_xlfn.IFS(D12&gt;=15000,5,D12&gt;=8000,4,D12&gt;=3000,3,D12&gt;=1000,2,TRUE,1)</f>
        <v>4</v>
      </c>
      <c r="H12" t="str">
        <f t="shared" ca="1" si="0"/>
        <v>544</v>
      </c>
      <c r="I12" t="str" cm="1">
        <f t="array" aca="1" ref="I12" ca="1">_xlfn.IFS(
  H12="555","Champions",
  VALUE(LEFT(H12,2))&gt;=54,"Loyal Customers",
  VALUE(LEFT(H12,1))&gt;=4,"Potential Loyalists",
  VALUE(RIGHT(H12,2))&gt;=45,"New Customers",
  VALUE(LEFT(H12,1))&lt;=2,"At Risk",
  VALUE(LEFT(H12,1))&lt;=1,"Can't Lose",
  TRUE,"Others"
)</f>
        <v>Loyal Customers</v>
      </c>
      <c r="J12" s="18"/>
      <c r="K12" s="18"/>
      <c r="L12" s="18"/>
      <c r="M12" s="18"/>
      <c r="N12" s="18"/>
      <c r="O12" s="18"/>
      <c r="P12" s="18"/>
      <c r="Q12" s="18"/>
      <c r="R12" s="18"/>
      <c r="S12" s="7"/>
    </row>
    <row r="13" spans="1:19" x14ac:dyDescent="0.35">
      <c r="A13" t="str">
        <v>CUST0003</v>
      </c>
      <c r="B13" s="3">
        <f ca="1">TODAY()-Sheet1!B13</f>
        <v>15</v>
      </c>
      <c r="C13" s="3">
        <f>COUNTIFS(Sheet1!A13:A1012,A13)</f>
        <v>9</v>
      </c>
      <c r="D13" s="4">
        <v>17526</v>
      </c>
      <c r="E13" cm="1">
        <f t="array" aca="1" ref="E13" ca="1">_xlfn.IFS(B13&lt;=30,5,B13&lt;=60,4,B13&lt;=90,3,B13&lt;=120,2,TRUE,1)</f>
        <v>5</v>
      </c>
      <c r="F13" cm="1">
        <f t="array" ref="F13">_xlfn.IFS(C13&gt;=8,5,C13&gt;=5,4,C13&gt;=3,3,C13&gt;=2,2,TRUE,1)</f>
        <v>5</v>
      </c>
      <c r="G13" cm="1">
        <f t="array" ref="G13">_xlfn.IFS(D13&gt;=15000,5,D13&gt;=8000,4,D13&gt;=3000,3,D13&gt;=1000,2,TRUE,1)</f>
        <v>5</v>
      </c>
      <c r="H13" t="str">
        <f t="shared" ca="1" si="0"/>
        <v>555</v>
      </c>
      <c r="I13" t="str" cm="1">
        <f t="array" aca="1" ref="I13" ca="1">_xlfn.IFS(
  H13="555","Champions",
  VALUE(LEFT(H13,2))&gt;=54,"Loyal Customers",
  VALUE(LEFT(H13,1))&gt;=4,"Potential Loyalists",
  VALUE(RIGHT(H13,2))&gt;=45,"New Customers",
  VALUE(LEFT(H13,1))&lt;=2,"At Risk",
  VALUE(LEFT(H13,1))&lt;=1,"Can't Lose",
  TRUE,"Others"
)</f>
        <v>Champions</v>
      </c>
      <c r="J13" s="18"/>
      <c r="K13" s="18"/>
      <c r="L13" s="18"/>
      <c r="M13" s="18"/>
      <c r="N13" s="18"/>
      <c r="O13" s="18"/>
      <c r="P13" s="18"/>
      <c r="Q13" s="18"/>
      <c r="R13" s="18"/>
      <c r="S13" s="7"/>
    </row>
    <row r="14" spans="1:19" x14ac:dyDescent="0.35">
      <c r="A14" t="str">
        <v>CUST0111</v>
      </c>
      <c r="B14" s="3">
        <f ca="1">TODAY()-Sheet1!B14</f>
        <v>20</v>
      </c>
      <c r="C14" s="3">
        <f>COUNTIFS(Sheet1!A14:A1013,A14)</f>
        <v>5</v>
      </c>
      <c r="D14" s="4">
        <v>15878.810000000001</v>
      </c>
      <c r="E14" cm="1">
        <f t="array" aca="1" ref="E14" ca="1">_xlfn.IFS(B14&lt;=30,5,B14&lt;=60,4,B14&lt;=90,3,B14&lt;=120,2,TRUE,1)</f>
        <v>5</v>
      </c>
      <c r="F14" cm="1">
        <f t="array" ref="F14">_xlfn.IFS(C14&gt;=8,5,C14&gt;=5,4,C14&gt;=3,3,C14&gt;=2,2,TRUE,1)</f>
        <v>4</v>
      </c>
      <c r="G14" cm="1">
        <f t="array" ref="G14">_xlfn.IFS(D14&gt;=15000,5,D14&gt;=8000,4,D14&gt;=3000,3,D14&gt;=1000,2,TRUE,1)</f>
        <v>5</v>
      </c>
      <c r="H14" t="str">
        <f t="shared" ca="1" si="0"/>
        <v>545</v>
      </c>
      <c r="I14" t="str" cm="1">
        <f t="array" aca="1" ref="I14" ca="1">_xlfn.IFS(
  H14="555","Champions",
  VALUE(LEFT(H14,2))&gt;=54,"Loyal Customers",
  VALUE(LEFT(H14,1))&gt;=4,"Potential Loyalists",
  VALUE(RIGHT(H14,2))&gt;=45,"New Customers",
  VALUE(LEFT(H14,1))&lt;=2,"At Risk",
  VALUE(LEFT(H14,1))&lt;=1,"Can't Lose",
  TRUE,"Others"
)</f>
        <v>Loyal Customers</v>
      </c>
      <c r="J14" s="18"/>
      <c r="K14" s="18"/>
      <c r="L14" s="18"/>
      <c r="M14" s="18"/>
      <c r="N14" s="18"/>
      <c r="O14" s="18"/>
      <c r="P14" s="18"/>
      <c r="Q14" s="18"/>
      <c r="R14" s="18"/>
      <c r="S14" s="7"/>
    </row>
    <row r="15" spans="1:19" x14ac:dyDescent="0.35">
      <c r="A15" t="str">
        <v>CUST0071</v>
      </c>
      <c r="B15" s="3">
        <f ca="1">TODAY()-Sheet1!B15</f>
        <v>6</v>
      </c>
      <c r="C15" s="3">
        <f>COUNTIFS(Sheet1!A15:A1014,A15)</f>
        <v>8</v>
      </c>
      <c r="D15" s="4">
        <v>8928.58</v>
      </c>
      <c r="E15" cm="1">
        <f t="array" aca="1" ref="E15" ca="1">_xlfn.IFS(B15&lt;=30,5,B15&lt;=60,4,B15&lt;=90,3,B15&lt;=120,2,TRUE,1)</f>
        <v>5</v>
      </c>
      <c r="F15" cm="1">
        <f t="array" ref="F15">_xlfn.IFS(C15&gt;=8,5,C15&gt;=5,4,C15&gt;=3,3,C15&gt;=2,2,TRUE,1)</f>
        <v>5</v>
      </c>
      <c r="G15" cm="1">
        <f t="array" ref="G15">_xlfn.IFS(D15&gt;=15000,5,D15&gt;=8000,4,D15&gt;=3000,3,D15&gt;=1000,2,TRUE,1)</f>
        <v>4</v>
      </c>
      <c r="H15" t="str">
        <f t="shared" ca="1" si="0"/>
        <v>554</v>
      </c>
      <c r="I15" t="str" cm="1">
        <f t="array" aca="1" ref="I15" ca="1">_xlfn.IFS(
  H15="555","Champions",
  VALUE(LEFT(H15,2))&gt;=54,"Loyal Customers",
  VALUE(LEFT(H15,1))&gt;=4,"Potential Loyalists",
  VALUE(RIGHT(H15,2))&gt;=45,"New Customers",
  VALUE(LEFT(H15,1))&lt;=2,"At Risk",
  VALUE(LEFT(H15,1))&lt;=1,"Can't Lose",
  TRUE,"Others"
)</f>
        <v>Loyal Customers</v>
      </c>
      <c r="J15" s="18"/>
      <c r="K15" s="18"/>
      <c r="L15" s="18"/>
      <c r="M15" s="18"/>
      <c r="N15" s="18"/>
      <c r="O15" s="18"/>
      <c r="P15" s="18"/>
      <c r="Q15" s="18"/>
      <c r="R15" s="18"/>
      <c r="S15" s="7"/>
    </row>
    <row r="16" spans="1:19" x14ac:dyDescent="0.35">
      <c r="A16" t="str">
        <v>CUST0166</v>
      </c>
      <c r="B16" s="3">
        <f ca="1">TODAY()-Sheet1!B16</f>
        <v>12</v>
      </c>
      <c r="C16" s="3">
        <f>COUNTIFS(Sheet1!A16:A1015,A16)</f>
        <v>9</v>
      </c>
      <c r="D16" s="4">
        <v>15272.029999999999</v>
      </c>
      <c r="E16" cm="1">
        <f t="array" aca="1" ref="E16" ca="1">_xlfn.IFS(B16&lt;=30,5,B16&lt;=60,4,B16&lt;=90,3,B16&lt;=120,2,TRUE,1)</f>
        <v>5</v>
      </c>
      <c r="F16" cm="1">
        <f t="array" ref="F16">_xlfn.IFS(C16&gt;=8,5,C16&gt;=5,4,C16&gt;=3,3,C16&gt;=2,2,TRUE,1)</f>
        <v>5</v>
      </c>
      <c r="G16" cm="1">
        <f t="array" ref="G16">_xlfn.IFS(D16&gt;=15000,5,D16&gt;=8000,4,D16&gt;=3000,3,D16&gt;=1000,2,TRUE,1)</f>
        <v>5</v>
      </c>
      <c r="H16" t="str">
        <f t="shared" ca="1" si="0"/>
        <v>555</v>
      </c>
      <c r="I16" t="str" cm="1">
        <f t="array" aca="1" ref="I16" ca="1">_xlfn.IFS(
  H16="555","Champions",
  VALUE(LEFT(H16,2))&gt;=54,"Loyal Customers",
  VALUE(LEFT(H16,1))&gt;=4,"Potential Loyalists",
  VALUE(RIGHT(H16,2))&gt;=45,"New Customers",
  VALUE(LEFT(H16,1))&lt;=2,"At Risk",
  VALUE(LEFT(H16,1))&lt;=1,"Can't Lose",
  TRUE,"Others"
)</f>
        <v>Champions</v>
      </c>
      <c r="J16" s="18"/>
      <c r="K16" s="18"/>
      <c r="L16" s="18"/>
      <c r="M16" s="18"/>
      <c r="N16" s="18"/>
      <c r="O16" s="18"/>
      <c r="P16" s="18"/>
      <c r="Q16" s="18"/>
      <c r="R16" s="18"/>
      <c r="S16" s="7"/>
    </row>
    <row r="17" spans="1:19" x14ac:dyDescent="0.35">
      <c r="A17" t="str">
        <v>CUST0177</v>
      </c>
      <c r="B17" s="3">
        <f ca="1">TODAY()-Sheet1!B17</f>
        <v>3</v>
      </c>
      <c r="C17" s="3">
        <f>COUNTIFS(Sheet1!A17:A1016,A17)</f>
        <v>8</v>
      </c>
      <c r="D17" s="4">
        <v>12704.480000000001</v>
      </c>
      <c r="E17" cm="1">
        <f t="array" aca="1" ref="E17" ca="1">_xlfn.IFS(B17&lt;=30,5,B17&lt;=60,4,B17&lt;=90,3,B17&lt;=120,2,TRUE,1)</f>
        <v>5</v>
      </c>
      <c r="F17" cm="1">
        <f t="array" ref="F17">_xlfn.IFS(C17&gt;=8,5,C17&gt;=5,4,C17&gt;=3,3,C17&gt;=2,2,TRUE,1)</f>
        <v>5</v>
      </c>
      <c r="G17" cm="1">
        <f t="array" ref="G17">_xlfn.IFS(D17&gt;=15000,5,D17&gt;=8000,4,D17&gt;=3000,3,D17&gt;=1000,2,TRUE,1)</f>
        <v>4</v>
      </c>
      <c r="H17" t="str">
        <f t="shared" ca="1" si="0"/>
        <v>554</v>
      </c>
      <c r="I17" t="str" cm="1">
        <f t="array" aca="1" ref="I17" ca="1">_xlfn.IFS(
  H17="555","Champions",
  VALUE(LEFT(H17,2))&gt;=54,"Loyal Customers",
  VALUE(LEFT(H17,1))&gt;=4,"Potential Loyalists",
  VALUE(RIGHT(H17,2))&gt;=45,"New Customers",
  VALUE(LEFT(H17,1))&lt;=2,"At Risk",
  VALUE(LEFT(H17,1))&lt;=1,"Can't Lose",
  TRUE,"Others"
)</f>
        <v>Loyal Customers</v>
      </c>
      <c r="J17" s="18"/>
      <c r="K17" s="18"/>
      <c r="L17" s="18"/>
      <c r="M17" s="18"/>
      <c r="N17" s="18"/>
      <c r="O17" s="18"/>
      <c r="P17" s="18"/>
      <c r="Q17" s="18"/>
      <c r="R17" s="18"/>
      <c r="S17" s="7"/>
    </row>
    <row r="18" spans="1:19" x14ac:dyDescent="0.35">
      <c r="A18" t="str">
        <v>CUST0038</v>
      </c>
      <c r="B18" s="3">
        <f ca="1">TODAY()-Sheet1!B18</f>
        <v>22</v>
      </c>
      <c r="C18" s="3">
        <f>COUNTIFS(Sheet1!A18:A1017,A18)</f>
        <v>7</v>
      </c>
      <c r="D18" s="4">
        <v>28255.459999999995</v>
      </c>
      <c r="E18" cm="1">
        <f t="array" aca="1" ref="E18" ca="1">_xlfn.IFS(B18&lt;=30,5,B18&lt;=60,4,B18&lt;=90,3,B18&lt;=120,2,TRUE,1)</f>
        <v>5</v>
      </c>
      <c r="F18" cm="1">
        <f t="array" ref="F18">_xlfn.IFS(C18&gt;=8,5,C18&gt;=5,4,C18&gt;=3,3,C18&gt;=2,2,TRUE,1)</f>
        <v>4</v>
      </c>
      <c r="G18" cm="1">
        <f t="array" ref="G18">_xlfn.IFS(D18&gt;=15000,5,D18&gt;=8000,4,D18&gt;=3000,3,D18&gt;=1000,2,TRUE,1)</f>
        <v>5</v>
      </c>
      <c r="H18" t="str">
        <f t="shared" ca="1" si="0"/>
        <v>545</v>
      </c>
      <c r="I18" t="str" cm="1">
        <f t="array" aca="1" ref="I18" ca="1">_xlfn.IFS(
  H18="555","Champions",
  VALUE(LEFT(H18,2))&gt;=54,"Loyal Customers",
  VALUE(LEFT(H18,1))&gt;=4,"Potential Loyalists",
  VALUE(RIGHT(H18,2))&gt;=45,"New Customers",
  VALUE(LEFT(H18,1))&lt;=2,"At Risk",
  VALUE(LEFT(H18,1))&lt;=1,"Can't Lose",
  TRUE,"Others"
)</f>
        <v>Loyal Customers</v>
      </c>
      <c r="J18" s="18"/>
      <c r="K18" s="18"/>
      <c r="L18" s="18"/>
      <c r="M18" s="18"/>
      <c r="N18" s="18"/>
      <c r="O18" s="18"/>
      <c r="P18" s="18"/>
      <c r="Q18" s="18"/>
      <c r="R18" s="18"/>
      <c r="S18" s="7"/>
    </row>
    <row r="19" spans="1:19" x14ac:dyDescent="0.35">
      <c r="A19" t="str">
        <v>CUST0134</v>
      </c>
      <c r="B19" s="3">
        <f ca="1">TODAY()-Sheet1!B19</f>
        <v>17</v>
      </c>
      <c r="C19" s="3">
        <f>COUNTIFS(Sheet1!A19:A1018,A19)</f>
        <v>9</v>
      </c>
      <c r="D19" s="4">
        <v>18369.060000000001</v>
      </c>
      <c r="E19" cm="1">
        <f t="array" aca="1" ref="E19" ca="1">_xlfn.IFS(B19&lt;=30,5,B19&lt;=60,4,B19&lt;=90,3,B19&lt;=120,2,TRUE,1)</f>
        <v>5</v>
      </c>
      <c r="F19" cm="1">
        <f t="array" ref="F19">_xlfn.IFS(C19&gt;=8,5,C19&gt;=5,4,C19&gt;=3,3,C19&gt;=2,2,TRUE,1)</f>
        <v>5</v>
      </c>
      <c r="G19" cm="1">
        <f t="array" ref="G19">_xlfn.IFS(D19&gt;=15000,5,D19&gt;=8000,4,D19&gt;=3000,3,D19&gt;=1000,2,TRUE,1)</f>
        <v>5</v>
      </c>
      <c r="H19" t="str">
        <f t="shared" ca="1" si="0"/>
        <v>555</v>
      </c>
      <c r="I19" t="str" cm="1">
        <f t="array" aca="1" ref="I19" ca="1">_xlfn.IFS(
  H19="555","Champions",
  VALUE(LEFT(H19,2))&gt;=54,"Loyal Customers",
  VALUE(LEFT(H19,1))&gt;=4,"Potential Loyalists",
  VALUE(RIGHT(H19,2))&gt;=45,"New Customers",
  VALUE(LEFT(H19,1))&lt;=2,"At Risk",
  VALUE(LEFT(H19,1))&lt;=1,"Can't Lose",
  TRUE,"Others"
)</f>
        <v>Champions</v>
      </c>
      <c r="J19" s="18"/>
      <c r="K19" s="18"/>
      <c r="L19" s="18"/>
      <c r="M19" s="18"/>
      <c r="N19" s="18"/>
      <c r="O19" s="18"/>
      <c r="P19" s="18"/>
      <c r="Q19" s="18"/>
      <c r="R19" s="18"/>
      <c r="S19" s="7"/>
    </row>
    <row r="20" spans="1:19" x14ac:dyDescent="0.35">
      <c r="A20" t="str">
        <v>CUST0072</v>
      </c>
      <c r="B20" s="3">
        <f ca="1">TODAY()-Sheet1!B20</f>
        <v>15</v>
      </c>
      <c r="C20" s="3">
        <f>COUNTIFS(Sheet1!A20:A1019,A20)</f>
        <v>8</v>
      </c>
      <c r="D20" s="4">
        <v>15648.099999999999</v>
      </c>
      <c r="E20" cm="1">
        <f t="array" aca="1" ref="E20" ca="1">_xlfn.IFS(B20&lt;=30,5,B20&lt;=60,4,B20&lt;=90,3,B20&lt;=120,2,TRUE,1)</f>
        <v>5</v>
      </c>
      <c r="F20" cm="1">
        <f t="array" ref="F20">_xlfn.IFS(C20&gt;=8,5,C20&gt;=5,4,C20&gt;=3,3,C20&gt;=2,2,TRUE,1)</f>
        <v>5</v>
      </c>
      <c r="G20" cm="1">
        <f t="array" ref="G20">_xlfn.IFS(D20&gt;=15000,5,D20&gt;=8000,4,D20&gt;=3000,3,D20&gt;=1000,2,TRUE,1)</f>
        <v>5</v>
      </c>
      <c r="H20" t="str">
        <f t="shared" ca="1" si="0"/>
        <v>555</v>
      </c>
      <c r="I20" t="str" cm="1">
        <f t="array" aca="1" ref="I20" ca="1">_xlfn.IFS(
  H20="555","Champions",
  VALUE(LEFT(H20,2))&gt;=54,"Loyal Customers",
  VALUE(LEFT(H20,1))&gt;=4,"Potential Loyalists",
  VALUE(RIGHT(H20,2))&gt;=45,"New Customers",
  VALUE(LEFT(H20,1))&lt;=2,"At Risk",
  VALUE(LEFT(H20,1))&lt;=1,"Can't Lose",
  TRUE,"Others"
)</f>
        <v>Champions</v>
      </c>
      <c r="J20" s="18"/>
      <c r="K20" s="18"/>
      <c r="L20" s="18"/>
      <c r="M20" s="18"/>
      <c r="N20" s="18"/>
      <c r="O20" s="18"/>
      <c r="P20" s="18"/>
      <c r="Q20" s="18"/>
      <c r="R20" s="18"/>
      <c r="S20" s="7"/>
    </row>
    <row r="21" spans="1:19" x14ac:dyDescent="0.35">
      <c r="A21" t="str">
        <v>CUST0010</v>
      </c>
      <c r="B21" s="3">
        <f ca="1">TODAY()-Sheet1!B21</f>
        <v>35</v>
      </c>
      <c r="C21" s="3">
        <f>COUNTIFS(Sheet1!A21:A1020,A21)</f>
        <v>8</v>
      </c>
      <c r="D21" s="4">
        <v>31724.690000000002</v>
      </c>
      <c r="E21" cm="1">
        <f t="array" aca="1" ref="E21" ca="1">_xlfn.IFS(B21&lt;=30,5,B21&lt;=60,4,B21&lt;=90,3,B21&lt;=120,2,TRUE,1)</f>
        <v>4</v>
      </c>
      <c r="F21" cm="1">
        <f t="array" ref="F21">_xlfn.IFS(C21&gt;=8,5,C21&gt;=5,4,C21&gt;=3,3,C21&gt;=2,2,TRUE,1)</f>
        <v>5</v>
      </c>
      <c r="G21" cm="1">
        <f t="array" ref="G21">_xlfn.IFS(D21&gt;=15000,5,D21&gt;=8000,4,D21&gt;=3000,3,D21&gt;=1000,2,TRUE,1)</f>
        <v>5</v>
      </c>
      <c r="H21" t="str">
        <f t="shared" ca="1" si="0"/>
        <v>455</v>
      </c>
      <c r="I21" t="str" cm="1">
        <f t="array" aca="1" ref="I21" ca="1">_xlfn.IFS(
  H21="555","Champions",
  VALUE(LEFT(H21,2))&gt;=54,"Loyal Customers",
  VALUE(LEFT(H21,1))&gt;=4,"Potential Loyalists",
  VALUE(RIGHT(H21,2))&gt;=45,"New Customers",
  VALUE(LEFT(H21,1))&lt;=2,"At Risk",
  VALUE(LEFT(H21,1))&lt;=1,"Can't Lose",
  TRUE,"Others"
)</f>
        <v>Potential Loyalists</v>
      </c>
      <c r="J21" s="7"/>
      <c r="K21" s="7"/>
      <c r="L21" s="7"/>
      <c r="M21" s="7"/>
      <c r="N21" s="7"/>
      <c r="O21" s="7"/>
      <c r="P21" s="7"/>
      <c r="Q21" s="7"/>
      <c r="R21" s="7"/>
      <c r="S21" s="7"/>
    </row>
    <row r="22" spans="1:19" x14ac:dyDescent="0.35">
      <c r="A22" t="str">
        <v>CUST0002</v>
      </c>
      <c r="B22" s="3">
        <f ca="1">TODAY()-Sheet1!B22</f>
        <v>20</v>
      </c>
      <c r="C22" s="3">
        <f>COUNTIFS(Sheet1!A22:A1021,A22)</f>
        <v>7</v>
      </c>
      <c r="D22" s="4">
        <v>10201.629999999999</v>
      </c>
      <c r="E22" cm="1">
        <f t="array" aca="1" ref="E22" ca="1">_xlfn.IFS(B22&lt;=30,5,B22&lt;=60,4,B22&lt;=90,3,B22&lt;=120,2,TRUE,1)</f>
        <v>5</v>
      </c>
      <c r="F22" cm="1">
        <f t="array" ref="F22">_xlfn.IFS(C22&gt;=8,5,C22&gt;=5,4,C22&gt;=3,3,C22&gt;=2,2,TRUE,1)</f>
        <v>4</v>
      </c>
      <c r="G22" cm="1">
        <f t="array" ref="G22">_xlfn.IFS(D22&gt;=15000,5,D22&gt;=8000,4,D22&gt;=3000,3,D22&gt;=1000,2,TRUE,1)</f>
        <v>4</v>
      </c>
      <c r="H22" t="str">
        <f t="shared" ca="1" si="0"/>
        <v>544</v>
      </c>
      <c r="I22" t="str" cm="1">
        <f t="array" aca="1" ref="I22" ca="1">_xlfn.IFS(
  H22="555","Champions",
  VALUE(LEFT(H22,2))&gt;=54,"Loyal Customers",
  VALUE(LEFT(H22,1))&gt;=4,"Potential Loyalists",
  VALUE(RIGHT(H22,2))&gt;=45,"New Customers",
  VALUE(LEFT(H22,1))&lt;=2,"At Risk",
  VALUE(LEFT(H22,1))&lt;=1,"Can't Lose",
  TRUE,"Others"
)</f>
        <v>Loyal Customers</v>
      </c>
      <c r="J22" s="7"/>
      <c r="K22" s="7"/>
      <c r="L22" s="7"/>
      <c r="M22" s="7"/>
      <c r="N22" s="7"/>
      <c r="O22" s="7"/>
      <c r="P22" s="7"/>
      <c r="Q22" s="7"/>
      <c r="R22" s="7"/>
      <c r="S22" s="7"/>
    </row>
    <row r="23" spans="1:19" x14ac:dyDescent="0.35">
      <c r="A23" t="str">
        <v>CUST0192</v>
      </c>
      <c r="B23" s="3">
        <f ca="1">TODAY()-Sheet1!B23</f>
        <v>13</v>
      </c>
      <c r="C23" s="3">
        <f>COUNTIFS(Sheet1!A23:A1022,A23)</f>
        <v>4</v>
      </c>
      <c r="D23" s="4">
        <v>4266.95</v>
      </c>
      <c r="E23" cm="1">
        <f t="array" aca="1" ref="E23" ca="1">_xlfn.IFS(B23&lt;=30,5,B23&lt;=60,4,B23&lt;=90,3,B23&lt;=120,2,TRUE,1)</f>
        <v>5</v>
      </c>
      <c r="F23" cm="1">
        <f t="array" ref="F23">_xlfn.IFS(C23&gt;=8,5,C23&gt;=5,4,C23&gt;=3,3,C23&gt;=2,2,TRUE,1)</f>
        <v>3</v>
      </c>
      <c r="G23" cm="1">
        <f t="array" ref="G23">_xlfn.IFS(D23&gt;=15000,5,D23&gt;=8000,4,D23&gt;=3000,3,D23&gt;=1000,2,TRUE,1)</f>
        <v>3</v>
      </c>
      <c r="H23" t="str">
        <f t="shared" ca="1" si="0"/>
        <v>533</v>
      </c>
      <c r="I23" t="str" cm="1">
        <f t="array" aca="1" ref="I23" ca="1">_xlfn.IFS(
  H23="555","Champions",
  VALUE(LEFT(H23,2))&gt;=54,"Loyal Customers",
  VALUE(LEFT(H23,1))&gt;=4,"Potential Loyalists",
  VALUE(RIGHT(H23,2))&gt;=45,"New Customers",
  VALUE(LEFT(H23,1))&lt;=2,"At Risk",
  VALUE(LEFT(H23,1))&lt;=1,"Can't Lose",
  TRUE,"Others"
)</f>
        <v>Potential Loyalists</v>
      </c>
    </row>
    <row r="24" spans="1:19" x14ac:dyDescent="0.35">
      <c r="A24" t="str">
        <v>CUST0029</v>
      </c>
      <c r="B24" s="3">
        <f ca="1">TODAY()-Sheet1!B24</f>
        <v>1</v>
      </c>
      <c r="C24" s="3">
        <f>COUNTIFS(Sheet1!A24:A1023,A24)</f>
        <v>9</v>
      </c>
      <c r="D24" s="4">
        <v>12465.169999999998</v>
      </c>
      <c r="E24" cm="1">
        <f t="array" aca="1" ref="E24" ca="1">_xlfn.IFS(B24&lt;=30,5,B24&lt;=60,4,B24&lt;=90,3,B24&lt;=120,2,TRUE,1)</f>
        <v>5</v>
      </c>
      <c r="F24" cm="1">
        <f t="array" ref="F24">_xlfn.IFS(C24&gt;=8,5,C24&gt;=5,4,C24&gt;=3,3,C24&gt;=2,2,TRUE,1)</f>
        <v>5</v>
      </c>
      <c r="G24" cm="1">
        <f t="array" ref="G24">_xlfn.IFS(D24&gt;=15000,5,D24&gt;=8000,4,D24&gt;=3000,3,D24&gt;=1000,2,TRUE,1)</f>
        <v>4</v>
      </c>
      <c r="H24" t="str">
        <f t="shared" ca="1" si="0"/>
        <v>554</v>
      </c>
      <c r="I24" t="str" cm="1">
        <f t="array" aca="1" ref="I24" ca="1">_xlfn.IFS(
  H24="555","Champions",
  VALUE(LEFT(H24,2))&gt;=54,"Loyal Customers",
  VALUE(LEFT(H24,1))&gt;=4,"Potential Loyalists",
  VALUE(RIGHT(H24,2))&gt;=45,"New Customers",
  VALUE(LEFT(H24,1))&lt;=2,"At Risk",
  VALUE(LEFT(H24,1))&lt;=1,"Can't Lose",
  TRUE,"Others"
)</f>
        <v>Loyal Customers</v>
      </c>
    </row>
    <row r="25" spans="1:19" x14ac:dyDescent="0.35">
      <c r="A25" t="str">
        <v>CUST0193</v>
      </c>
      <c r="B25" s="3">
        <f ca="1">TODAY()-Sheet1!B25</f>
        <v>26</v>
      </c>
      <c r="C25" s="3">
        <f>COUNTIFS(Sheet1!A25:A1024,A25)</f>
        <v>5</v>
      </c>
      <c r="D25" s="4">
        <v>7388.67</v>
      </c>
      <c r="E25" cm="1">
        <f t="array" aca="1" ref="E25" ca="1">_xlfn.IFS(B25&lt;=30,5,B25&lt;=60,4,B25&lt;=90,3,B25&lt;=120,2,TRUE,1)</f>
        <v>5</v>
      </c>
      <c r="F25" cm="1">
        <f t="array" ref="F25">_xlfn.IFS(C25&gt;=8,5,C25&gt;=5,4,C25&gt;=3,3,C25&gt;=2,2,TRUE,1)</f>
        <v>4</v>
      </c>
      <c r="G25" cm="1">
        <f t="array" ref="G25">_xlfn.IFS(D25&gt;=15000,5,D25&gt;=8000,4,D25&gt;=3000,3,D25&gt;=1000,2,TRUE,1)</f>
        <v>3</v>
      </c>
      <c r="H25" t="str">
        <f t="shared" ca="1" si="0"/>
        <v>543</v>
      </c>
      <c r="I25" t="str" cm="1">
        <f t="array" aca="1" ref="I25" ca="1">_xlfn.IFS(
  H25="555","Champions",
  VALUE(LEFT(H25,2))&gt;=54,"Loyal Customers",
  VALUE(LEFT(H25,1))&gt;=4,"Potential Loyalists",
  VALUE(RIGHT(H25,2))&gt;=45,"New Customers",
  VALUE(LEFT(H25,1))&lt;=2,"At Risk",
  VALUE(LEFT(H25,1))&lt;=1,"Can't Lose",
  TRUE,"Others"
)</f>
        <v>Loyal Customers</v>
      </c>
    </row>
    <row r="26" spans="1:19" x14ac:dyDescent="0.35">
      <c r="A26" t="str">
        <v>CUST0026</v>
      </c>
      <c r="B26" s="3">
        <f ca="1">TODAY()-Sheet1!B26</f>
        <v>21</v>
      </c>
      <c r="C26" s="3">
        <f>COUNTIFS(Sheet1!A26:A1025,A26)</f>
        <v>5</v>
      </c>
      <c r="D26" s="4">
        <v>16926.810000000001</v>
      </c>
      <c r="E26" cm="1">
        <f t="array" aca="1" ref="E26" ca="1">_xlfn.IFS(B26&lt;=30,5,B26&lt;=60,4,B26&lt;=90,3,B26&lt;=120,2,TRUE,1)</f>
        <v>5</v>
      </c>
      <c r="F26" cm="1">
        <f t="array" ref="F26">_xlfn.IFS(C26&gt;=8,5,C26&gt;=5,4,C26&gt;=3,3,C26&gt;=2,2,TRUE,1)</f>
        <v>4</v>
      </c>
      <c r="G26" cm="1">
        <f t="array" ref="G26">_xlfn.IFS(D26&gt;=15000,5,D26&gt;=8000,4,D26&gt;=3000,3,D26&gt;=1000,2,TRUE,1)</f>
        <v>5</v>
      </c>
      <c r="H26" t="str">
        <f t="shared" ca="1" si="0"/>
        <v>545</v>
      </c>
      <c r="I26" t="str" cm="1">
        <f t="array" aca="1" ref="I26" ca="1">_xlfn.IFS(
  H26="555","Champions",
  VALUE(LEFT(H26,2))&gt;=54,"Loyal Customers",
  VALUE(LEFT(H26,1))&gt;=4,"Potential Loyalists",
  VALUE(RIGHT(H26,2))&gt;=45,"New Customers",
  VALUE(LEFT(H26,1))&lt;=2,"At Risk",
  VALUE(LEFT(H26,1))&lt;=1,"Can't Lose",
  TRUE,"Others"
)</f>
        <v>Loyal Customers</v>
      </c>
    </row>
    <row r="27" spans="1:19" x14ac:dyDescent="0.35">
      <c r="A27" t="str">
        <v>CUST0091</v>
      </c>
      <c r="B27" s="3">
        <f ca="1">TODAY()-Sheet1!B27</f>
        <v>43</v>
      </c>
      <c r="C27" s="3">
        <f>COUNTIFS(Sheet1!A27:A1026,A27)</f>
        <v>8</v>
      </c>
      <c r="D27" s="4">
        <v>14141.79</v>
      </c>
      <c r="E27" cm="1">
        <f t="array" aca="1" ref="E27" ca="1">_xlfn.IFS(B27&lt;=30,5,B27&lt;=60,4,B27&lt;=90,3,B27&lt;=120,2,TRUE,1)</f>
        <v>4</v>
      </c>
      <c r="F27" cm="1">
        <f t="array" ref="F27">_xlfn.IFS(C27&gt;=8,5,C27&gt;=5,4,C27&gt;=3,3,C27&gt;=2,2,TRUE,1)</f>
        <v>5</v>
      </c>
      <c r="G27" cm="1">
        <f t="array" ref="G27">_xlfn.IFS(D27&gt;=15000,5,D27&gt;=8000,4,D27&gt;=3000,3,D27&gt;=1000,2,TRUE,1)</f>
        <v>4</v>
      </c>
      <c r="H27" t="str">
        <f t="shared" ca="1" si="0"/>
        <v>454</v>
      </c>
      <c r="I27" t="str" cm="1">
        <f t="array" aca="1" ref="I27" ca="1">_xlfn.IFS(
  H27="555","Champions",
  VALUE(LEFT(H27,2))&gt;=54,"Loyal Customers",
  VALUE(LEFT(H27,1))&gt;=4,"Potential Loyalists",
  VALUE(RIGHT(H27,2))&gt;=45,"New Customers",
  VALUE(LEFT(H27,1))&lt;=2,"At Risk",
  VALUE(LEFT(H27,1))&lt;=1,"Can't Lose",
  TRUE,"Others"
)</f>
        <v>Potential Loyalists</v>
      </c>
    </row>
    <row r="28" spans="1:19" x14ac:dyDescent="0.35">
      <c r="A28" t="str">
        <v>CUST0174</v>
      </c>
      <c r="B28" s="3">
        <f ca="1">TODAY()-Sheet1!B28</f>
        <v>18</v>
      </c>
      <c r="C28" s="3">
        <f>COUNTIFS(Sheet1!A28:A1027,A28)</f>
        <v>5</v>
      </c>
      <c r="D28" s="4">
        <v>7850.420000000001</v>
      </c>
      <c r="E28" cm="1">
        <f t="array" aca="1" ref="E28" ca="1">_xlfn.IFS(B28&lt;=30,5,B28&lt;=60,4,B28&lt;=90,3,B28&lt;=120,2,TRUE,1)</f>
        <v>5</v>
      </c>
      <c r="F28" cm="1">
        <f t="array" ref="F28">_xlfn.IFS(C28&gt;=8,5,C28&gt;=5,4,C28&gt;=3,3,C28&gt;=2,2,TRUE,1)</f>
        <v>4</v>
      </c>
      <c r="G28" cm="1">
        <f t="array" ref="G28">_xlfn.IFS(D28&gt;=15000,5,D28&gt;=8000,4,D28&gt;=3000,3,D28&gt;=1000,2,TRUE,1)</f>
        <v>3</v>
      </c>
      <c r="H28" t="str">
        <f t="shared" ca="1" si="0"/>
        <v>543</v>
      </c>
      <c r="I28" t="str" cm="1">
        <f t="array" aca="1" ref="I28" ca="1">_xlfn.IFS(
  H28="555","Champions",
  VALUE(LEFT(H28,2))&gt;=54,"Loyal Customers",
  VALUE(LEFT(H28,1))&gt;=4,"Potential Loyalists",
  VALUE(RIGHT(H28,2))&gt;=45,"New Customers",
  VALUE(LEFT(H28,1))&lt;=2,"At Risk",
  VALUE(LEFT(H28,1))&lt;=1,"Can't Lose",
  TRUE,"Others"
)</f>
        <v>Loyal Customers</v>
      </c>
    </row>
    <row r="29" spans="1:19" x14ac:dyDescent="0.35">
      <c r="A29" t="str">
        <v>CUST0039</v>
      </c>
      <c r="B29" s="3">
        <f ca="1">TODAY()-Sheet1!B29</f>
        <v>44</v>
      </c>
      <c r="C29" s="3">
        <f>COUNTIFS(Sheet1!A29:A1028,A29)</f>
        <v>3</v>
      </c>
      <c r="D29" s="4">
        <v>15367</v>
      </c>
      <c r="E29" cm="1">
        <f t="array" aca="1" ref="E29" ca="1">_xlfn.IFS(B29&lt;=30,5,B29&lt;=60,4,B29&lt;=90,3,B29&lt;=120,2,TRUE,1)</f>
        <v>4</v>
      </c>
      <c r="F29" cm="1">
        <f t="array" ref="F29">_xlfn.IFS(C29&gt;=8,5,C29&gt;=5,4,C29&gt;=3,3,C29&gt;=2,2,TRUE,1)</f>
        <v>3</v>
      </c>
      <c r="G29" cm="1">
        <f t="array" ref="G29">_xlfn.IFS(D29&gt;=15000,5,D29&gt;=8000,4,D29&gt;=3000,3,D29&gt;=1000,2,TRUE,1)</f>
        <v>5</v>
      </c>
      <c r="H29" t="str">
        <f t="shared" ca="1" si="0"/>
        <v>435</v>
      </c>
      <c r="I29" t="str" cm="1">
        <f t="array" aca="1" ref="I29" ca="1">_xlfn.IFS(
  H29="555","Champions",
  VALUE(LEFT(H29,2))&gt;=54,"Loyal Customers",
  VALUE(LEFT(H29,1))&gt;=4,"Potential Loyalists",
  VALUE(RIGHT(H29,2))&gt;=45,"New Customers",
  VALUE(LEFT(H29,1))&lt;=2,"At Risk",
  VALUE(LEFT(H29,1))&lt;=1,"Can't Lose",
  TRUE,"Others"
)</f>
        <v>Potential Loyalists</v>
      </c>
    </row>
    <row r="30" spans="1:19" x14ac:dyDescent="0.35">
      <c r="A30" t="str">
        <v>CUST0014</v>
      </c>
      <c r="B30" s="3">
        <f ca="1">TODAY()-Sheet1!B30</f>
        <v>39</v>
      </c>
      <c r="C30" s="3">
        <f>COUNTIFS(Sheet1!A30:A1029,A30)</f>
        <v>2</v>
      </c>
      <c r="D30" s="4">
        <v>13486.239999999998</v>
      </c>
      <c r="E30" cm="1">
        <f t="array" aca="1" ref="E30" ca="1">_xlfn.IFS(B30&lt;=30,5,B30&lt;=60,4,B30&lt;=90,3,B30&lt;=120,2,TRUE,1)</f>
        <v>4</v>
      </c>
      <c r="F30" cm="1">
        <f t="array" ref="F30">_xlfn.IFS(C30&gt;=8,5,C30&gt;=5,4,C30&gt;=3,3,C30&gt;=2,2,TRUE,1)</f>
        <v>2</v>
      </c>
      <c r="G30" cm="1">
        <f t="array" ref="G30">_xlfn.IFS(D30&gt;=15000,5,D30&gt;=8000,4,D30&gt;=3000,3,D30&gt;=1000,2,TRUE,1)</f>
        <v>4</v>
      </c>
      <c r="H30" t="str">
        <f t="shared" ca="1" si="0"/>
        <v>424</v>
      </c>
      <c r="I30" t="str" cm="1">
        <f t="array" aca="1" ref="I30" ca="1">_xlfn.IFS(
  H30="555","Champions",
  VALUE(LEFT(H30,2))&gt;=54,"Loyal Customers",
  VALUE(LEFT(H30,1))&gt;=4,"Potential Loyalists",
  VALUE(RIGHT(H30,2))&gt;=45,"New Customers",
  VALUE(LEFT(H30,1))&lt;=2,"At Risk",
  VALUE(LEFT(H30,1))&lt;=1,"Can't Lose",
  TRUE,"Others"
)</f>
        <v>Potential Loyalists</v>
      </c>
    </row>
    <row r="31" spans="1:19" x14ac:dyDescent="0.35">
      <c r="A31" t="str">
        <v>CUST0146</v>
      </c>
      <c r="B31" s="3">
        <f ca="1">TODAY()-Sheet1!B31</f>
        <v>31</v>
      </c>
      <c r="C31" s="3">
        <f>COUNTIFS(Sheet1!A31:A1030,A31)</f>
        <v>8</v>
      </c>
      <c r="D31" s="4">
        <v>14925.32</v>
      </c>
      <c r="E31" cm="1">
        <f t="array" aca="1" ref="E31" ca="1">_xlfn.IFS(B31&lt;=30,5,B31&lt;=60,4,B31&lt;=90,3,B31&lt;=120,2,TRUE,1)</f>
        <v>4</v>
      </c>
      <c r="F31" cm="1">
        <f t="array" ref="F31">_xlfn.IFS(C31&gt;=8,5,C31&gt;=5,4,C31&gt;=3,3,C31&gt;=2,2,TRUE,1)</f>
        <v>5</v>
      </c>
      <c r="G31" cm="1">
        <f t="array" ref="G31">_xlfn.IFS(D31&gt;=15000,5,D31&gt;=8000,4,D31&gt;=3000,3,D31&gt;=1000,2,TRUE,1)</f>
        <v>4</v>
      </c>
      <c r="H31" t="str">
        <f t="shared" ca="1" si="0"/>
        <v>454</v>
      </c>
      <c r="I31" t="str" cm="1">
        <f t="array" aca="1" ref="I31" ca="1">_xlfn.IFS(
  H31="555","Champions",
  VALUE(LEFT(H31,2))&gt;=54,"Loyal Customers",
  VALUE(LEFT(H31,1))&gt;=4,"Potential Loyalists",
  VALUE(RIGHT(H31,2))&gt;=45,"New Customers",
  VALUE(LEFT(H31,1))&lt;=2,"At Risk",
  VALUE(LEFT(H31,1))&lt;=1,"Can't Lose",
  TRUE,"Others"
)</f>
        <v>Potential Loyalists</v>
      </c>
    </row>
    <row r="32" spans="1:19" x14ac:dyDescent="0.35">
      <c r="A32" t="str">
        <v>CUST0031</v>
      </c>
      <c r="B32" s="3">
        <f ca="1">TODAY()-Sheet1!B32</f>
        <v>42</v>
      </c>
      <c r="C32" s="3">
        <f>COUNTIFS(Sheet1!A32:A1031,A32)</f>
        <v>7</v>
      </c>
      <c r="D32" s="4">
        <v>13434.000000000002</v>
      </c>
      <c r="E32" cm="1">
        <f t="array" aca="1" ref="E32" ca="1">_xlfn.IFS(B32&lt;=30,5,B32&lt;=60,4,B32&lt;=90,3,B32&lt;=120,2,TRUE,1)</f>
        <v>4</v>
      </c>
      <c r="F32" cm="1">
        <f t="array" ref="F32">_xlfn.IFS(C32&gt;=8,5,C32&gt;=5,4,C32&gt;=3,3,C32&gt;=2,2,TRUE,1)</f>
        <v>4</v>
      </c>
      <c r="G32" cm="1">
        <f t="array" ref="G32">_xlfn.IFS(D32&gt;=15000,5,D32&gt;=8000,4,D32&gt;=3000,3,D32&gt;=1000,2,TRUE,1)</f>
        <v>4</v>
      </c>
      <c r="H32" t="str">
        <f t="shared" ca="1" si="0"/>
        <v>444</v>
      </c>
      <c r="I32" t="str" cm="1">
        <f t="array" aca="1" ref="I32" ca="1">_xlfn.IFS(
  H32="555","Champions",
  VALUE(LEFT(H32,2))&gt;=54,"Loyal Customers",
  VALUE(LEFT(H32,1))&gt;=4,"Potential Loyalists",
  VALUE(RIGHT(H32,2))&gt;=45,"New Customers",
  VALUE(LEFT(H32,1))&lt;=2,"At Risk",
  VALUE(LEFT(H32,1))&lt;=1,"Can't Lose",
  TRUE,"Others"
)</f>
        <v>Potential Loyalists</v>
      </c>
    </row>
    <row r="33" spans="1:9" x14ac:dyDescent="0.35">
      <c r="A33" t="str">
        <v>CUST0046</v>
      </c>
      <c r="B33" s="3">
        <f ca="1">TODAY()-Sheet1!B33</f>
        <v>27</v>
      </c>
      <c r="C33" s="3">
        <f>COUNTIFS(Sheet1!A33:A1032,A33)</f>
        <v>4</v>
      </c>
      <c r="D33" s="4">
        <v>21433.210000000003</v>
      </c>
      <c r="E33" cm="1">
        <f t="array" aca="1" ref="E33" ca="1">_xlfn.IFS(B33&lt;=30,5,B33&lt;=60,4,B33&lt;=90,3,B33&lt;=120,2,TRUE,1)</f>
        <v>5</v>
      </c>
      <c r="F33" cm="1">
        <f t="array" ref="F33">_xlfn.IFS(C33&gt;=8,5,C33&gt;=5,4,C33&gt;=3,3,C33&gt;=2,2,TRUE,1)</f>
        <v>3</v>
      </c>
      <c r="G33" cm="1">
        <f t="array" ref="G33">_xlfn.IFS(D33&gt;=15000,5,D33&gt;=8000,4,D33&gt;=3000,3,D33&gt;=1000,2,TRUE,1)</f>
        <v>5</v>
      </c>
      <c r="H33" t="str">
        <f t="shared" ca="1" si="0"/>
        <v>535</v>
      </c>
      <c r="I33" t="str" cm="1">
        <f t="array" aca="1" ref="I33" ca="1">_xlfn.IFS(
  H33="555","Champions",
  VALUE(LEFT(H33,2))&gt;=54,"Loyal Customers",
  VALUE(LEFT(H33,1))&gt;=4,"Potential Loyalists",
  VALUE(RIGHT(H33,2))&gt;=45,"New Customers",
  VALUE(LEFT(H33,1))&lt;=2,"At Risk",
  VALUE(LEFT(H33,1))&lt;=1,"Can't Lose",
  TRUE,"Others"
)</f>
        <v>Potential Loyalists</v>
      </c>
    </row>
    <row r="34" spans="1:9" x14ac:dyDescent="0.35">
      <c r="A34" t="str">
        <v>CUST0098</v>
      </c>
      <c r="B34" s="3">
        <f ca="1">TODAY()-Sheet1!B34</f>
        <v>27</v>
      </c>
      <c r="C34" s="3">
        <f>COUNTIFS(Sheet1!A34:A1033,A34)</f>
        <v>9</v>
      </c>
      <c r="D34" s="4">
        <v>9976.5799999999981</v>
      </c>
      <c r="E34" cm="1">
        <f t="array" aca="1" ref="E34" ca="1">_xlfn.IFS(B34&lt;=30,5,B34&lt;=60,4,B34&lt;=90,3,B34&lt;=120,2,TRUE,1)</f>
        <v>5</v>
      </c>
      <c r="F34" cm="1">
        <f t="array" ref="F34">_xlfn.IFS(C34&gt;=8,5,C34&gt;=5,4,C34&gt;=3,3,C34&gt;=2,2,TRUE,1)</f>
        <v>5</v>
      </c>
      <c r="G34" cm="1">
        <f t="array" ref="G34">_xlfn.IFS(D34&gt;=15000,5,D34&gt;=8000,4,D34&gt;=3000,3,D34&gt;=1000,2,TRUE,1)</f>
        <v>4</v>
      </c>
      <c r="H34" t="str">
        <f t="shared" ca="1" si="0"/>
        <v>554</v>
      </c>
      <c r="I34" t="str" cm="1">
        <f t="array" aca="1" ref="I34" ca="1">_xlfn.IFS(
  H34="555","Champions",
  VALUE(LEFT(H34,2))&gt;=54,"Loyal Customers",
  VALUE(LEFT(H34,1))&gt;=4,"Potential Loyalists",
  VALUE(RIGHT(H34,2))&gt;=45,"New Customers",
  VALUE(LEFT(H34,1))&lt;=2,"At Risk",
  VALUE(LEFT(H34,1))&lt;=1,"Can't Lose",
  TRUE,"Others"
)</f>
        <v>Loyal Customers</v>
      </c>
    </row>
    <row r="35" spans="1:9" x14ac:dyDescent="0.35">
      <c r="A35" t="str">
        <v>CUST0007</v>
      </c>
      <c r="B35" s="3">
        <f ca="1">TODAY()-Sheet1!B35</f>
        <v>21</v>
      </c>
      <c r="C35" s="3">
        <f>COUNTIFS(Sheet1!A35:A1034,A35)</f>
        <v>8</v>
      </c>
      <c r="D35" s="4">
        <v>7069.5499999999993</v>
      </c>
      <c r="E35" cm="1">
        <f t="array" aca="1" ref="E35" ca="1">_xlfn.IFS(B35&lt;=30,5,B35&lt;=60,4,B35&lt;=90,3,B35&lt;=120,2,TRUE,1)</f>
        <v>5</v>
      </c>
      <c r="F35" cm="1">
        <f t="array" ref="F35">_xlfn.IFS(C35&gt;=8,5,C35&gt;=5,4,C35&gt;=3,3,C35&gt;=2,2,TRUE,1)</f>
        <v>5</v>
      </c>
      <c r="G35" cm="1">
        <f t="array" ref="G35">_xlfn.IFS(D35&gt;=15000,5,D35&gt;=8000,4,D35&gt;=3000,3,D35&gt;=1000,2,TRUE,1)</f>
        <v>3</v>
      </c>
      <c r="H35" t="str">
        <f t="shared" ca="1" si="0"/>
        <v>553</v>
      </c>
      <c r="I35" t="str" cm="1">
        <f t="array" aca="1" ref="I35" ca="1">_xlfn.IFS(
  H35="555","Champions",
  VALUE(LEFT(H35,2))&gt;=54,"Loyal Customers",
  VALUE(LEFT(H35,1))&gt;=4,"Potential Loyalists",
  VALUE(RIGHT(H35,2))&gt;=45,"New Customers",
  VALUE(LEFT(H35,1))&lt;=2,"At Risk",
  VALUE(LEFT(H35,1))&lt;=1,"Can't Lose",
  TRUE,"Others"
)</f>
        <v>Loyal Customers</v>
      </c>
    </row>
    <row r="36" spans="1:9" x14ac:dyDescent="0.35">
      <c r="A36" t="str">
        <v>CUST0188</v>
      </c>
      <c r="B36" s="3">
        <f ca="1">TODAY()-Sheet1!B36</f>
        <v>49</v>
      </c>
      <c r="C36" s="3">
        <f>COUNTIFS(Sheet1!A36:A1035,A36)</f>
        <v>8</v>
      </c>
      <c r="D36" s="4">
        <v>26031.879999999997</v>
      </c>
      <c r="E36" cm="1">
        <f t="array" aca="1" ref="E36" ca="1">_xlfn.IFS(B36&lt;=30,5,B36&lt;=60,4,B36&lt;=90,3,B36&lt;=120,2,TRUE,1)</f>
        <v>4</v>
      </c>
      <c r="F36" cm="1">
        <f t="array" ref="F36">_xlfn.IFS(C36&gt;=8,5,C36&gt;=5,4,C36&gt;=3,3,C36&gt;=2,2,TRUE,1)</f>
        <v>5</v>
      </c>
      <c r="G36" cm="1">
        <f t="array" ref="G36">_xlfn.IFS(D36&gt;=15000,5,D36&gt;=8000,4,D36&gt;=3000,3,D36&gt;=1000,2,TRUE,1)</f>
        <v>5</v>
      </c>
      <c r="H36" t="str">
        <f t="shared" ca="1" si="0"/>
        <v>455</v>
      </c>
      <c r="I36" t="str" cm="1">
        <f t="array" aca="1" ref="I36" ca="1">_xlfn.IFS(
  H36="555","Champions",
  VALUE(LEFT(H36,2))&gt;=54,"Loyal Customers",
  VALUE(LEFT(H36,1))&gt;=4,"Potential Loyalists",
  VALUE(RIGHT(H36,2))&gt;=45,"New Customers",
  VALUE(LEFT(H36,1))&lt;=2,"At Risk",
  VALUE(LEFT(H36,1))&lt;=1,"Can't Lose",
  TRUE,"Others"
)</f>
        <v>Potential Loyalists</v>
      </c>
    </row>
    <row r="37" spans="1:9" x14ac:dyDescent="0.35">
      <c r="A37" t="str">
        <v>CUST0015</v>
      </c>
      <c r="B37" s="3">
        <f ca="1">TODAY()-Sheet1!B37</f>
        <v>22</v>
      </c>
      <c r="C37" s="3">
        <f>COUNTIFS(Sheet1!A37:A1036,A37)</f>
        <v>8</v>
      </c>
      <c r="D37" s="4">
        <v>13867.54</v>
      </c>
      <c r="E37" cm="1">
        <f t="array" aca="1" ref="E37" ca="1">_xlfn.IFS(B37&lt;=30,5,B37&lt;=60,4,B37&lt;=90,3,B37&lt;=120,2,TRUE,1)</f>
        <v>5</v>
      </c>
      <c r="F37" cm="1">
        <f t="array" ref="F37">_xlfn.IFS(C37&gt;=8,5,C37&gt;=5,4,C37&gt;=3,3,C37&gt;=2,2,TRUE,1)</f>
        <v>5</v>
      </c>
      <c r="G37" cm="1">
        <f t="array" ref="G37">_xlfn.IFS(D37&gt;=15000,5,D37&gt;=8000,4,D37&gt;=3000,3,D37&gt;=1000,2,TRUE,1)</f>
        <v>4</v>
      </c>
      <c r="H37" t="str">
        <f t="shared" ca="1" si="0"/>
        <v>554</v>
      </c>
      <c r="I37" t="str" cm="1">
        <f t="array" aca="1" ref="I37" ca="1">_xlfn.IFS(
  H37="555","Champions",
  VALUE(LEFT(H37,2))&gt;=54,"Loyal Customers",
  VALUE(LEFT(H37,1))&gt;=4,"Potential Loyalists",
  VALUE(RIGHT(H37,2))&gt;=45,"New Customers",
  VALUE(LEFT(H37,1))&lt;=2,"At Risk",
  VALUE(LEFT(H37,1))&lt;=1,"Can't Lose",
  TRUE,"Others"
)</f>
        <v>Loyal Customers</v>
      </c>
    </row>
    <row r="38" spans="1:9" x14ac:dyDescent="0.35">
      <c r="A38" t="str">
        <v>CUST0022</v>
      </c>
      <c r="B38" s="3">
        <f ca="1">TODAY()-Sheet1!B38</f>
        <v>43</v>
      </c>
      <c r="C38" s="3">
        <f>COUNTIFS(Sheet1!A38:A1037,A38)</f>
        <v>1</v>
      </c>
      <c r="D38" s="4">
        <v>10607.82</v>
      </c>
      <c r="E38" cm="1">
        <f t="array" aca="1" ref="E38" ca="1">_xlfn.IFS(B38&lt;=30,5,B38&lt;=60,4,B38&lt;=90,3,B38&lt;=120,2,TRUE,1)</f>
        <v>4</v>
      </c>
      <c r="F38" cm="1">
        <f t="array" ref="F38">_xlfn.IFS(C38&gt;=8,5,C38&gt;=5,4,C38&gt;=3,3,C38&gt;=2,2,TRUE,1)</f>
        <v>1</v>
      </c>
      <c r="G38" cm="1">
        <f t="array" ref="G38">_xlfn.IFS(D38&gt;=15000,5,D38&gt;=8000,4,D38&gt;=3000,3,D38&gt;=1000,2,TRUE,1)</f>
        <v>4</v>
      </c>
      <c r="H38" t="str">
        <f t="shared" ca="1" si="0"/>
        <v>414</v>
      </c>
      <c r="I38" t="str" cm="1">
        <f t="array" aca="1" ref="I38" ca="1">_xlfn.IFS(
  H38="555","Champions",
  VALUE(LEFT(H38,2))&gt;=54,"Loyal Customers",
  VALUE(LEFT(H38,1))&gt;=4,"Potential Loyalists",
  VALUE(RIGHT(H38,2))&gt;=45,"New Customers",
  VALUE(LEFT(H38,1))&lt;=2,"At Risk",
  VALUE(LEFT(H38,1))&lt;=1,"Can't Lose",
  TRUE,"Others"
)</f>
        <v>Potential Loyalists</v>
      </c>
    </row>
    <row r="39" spans="1:9" x14ac:dyDescent="0.35">
      <c r="A39" t="str">
        <v>CUST0101</v>
      </c>
      <c r="B39" s="3">
        <f ca="1">TODAY()-Sheet1!B39</f>
        <v>4</v>
      </c>
      <c r="C39" s="3">
        <f>COUNTIFS(Sheet1!A39:A1038,A39)</f>
        <v>9</v>
      </c>
      <c r="D39" s="4">
        <v>20797.71</v>
      </c>
      <c r="E39" cm="1">
        <f t="array" aca="1" ref="E39" ca="1">_xlfn.IFS(B39&lt;=30,5,B39&lt;=60,4,B39&lt;=90,3,B39&lt;=120,2,TRUE,1)</f>
        <v>5</v>
      </c>
      <c r="F39" cm="1">
        <f t="array" ref="F39">_xlfn.IFS(C39&gt;=8,5,C39&gt;=5,4,C39&gt;=3,3,C39&gt;=2,2,TRUE,1)</f>
        <v>5</v>
      </c>
      <c r="G39" cm="1">
        <f t="array" ref="G39">_xlfn.IFS(D39&gt;=15000,5,D39&gt;=8000,4,D39&gt;=3000,3,D39&gt;=1000,2,TRUE,1)</f>
        <v>5</v>
      </c>
      <c r="H39" t="str">
        <f t="shared" ca="1" si="0"/>
        <v>555</v>
      </c>
      <c r="I39" t="str" cm="1">
        <f t="array" aca="1" ref="I39" ca="1">_xlfn.IFS(
  H39="555","Champions",
  VALUE(LEFT(H39,2))&gt;=54,"Loyal Customers",
  VALUE(LEFT(H39,1))&gt;=4,"Potential Loyalists",
  VALUE(RIGHT(H39,2))&gt;=45,"New Customers",
  VALUE(LEFT(H39,1))&lt;=2,"At Risk",
  VALUE(LEFT(H39,1))&lt;=1,"Can't Lose",
  TRUE,"Others"
)</f>
        <v>Champions</v>
      </c>
    </row>
    <row r="40" spans="1:9" x14ac:dyDescent="0.35">
      <c r="A40" t="str">
        <v>CUST0090</v>
      </c>
      <c r="B40" s="3">
        <f ca="1">TODAY()-Sheet1!B40</f>
        <v>46</v>
      </c>
      <c r="C40" s="3">
        <f>COUNTIFS(Sheet1!A40:A1039,A40)</f>
        <v>3</v>
      </c>
      <c r="D40" s="4">
        <v>3307.8999999999996</v>
      </c>
      <c r="E40" cm="1">
        <f t="array" aca="1" ref="E40" ca="1">_xlfn.IFS(B40&lt;=30,5,B40&lt;=60,4,B40&lt;=90,3,B40&lt;=120,2,TRUE,1)</f>
        <v>4</v>
      </c>
      <c r="F40" cm="1">
        <f t="array" ref="F40">_xlfn.IFS(C40&gt;=8,5,C40&gt;=5,4,C40&gt;=3,3,C40&gt;=2,2,TRUE,1)</f>
        <v>3</v>
      </c>
      <c r="G40" cm="1">
        <f t="array" ref="G40">_xlfn.IFS(D40&gt;=15000,5,D40&gt;=8000,4,D40&gt;=3000,3,D40&gt;=1000,2,TRUE,1)</f>
        <v>3</v>
      </c>
      <c r="H40" t="str">
        <f t="shared" ca="1" si="0"/>
        <v>433</v>
      </c>
      <c r="I40" t="str" cm="1">
        <f t="array" aca="1" ref="I40" ca="1">_xlfn.IFS(
  H40="555","Champions",
  VALUE(LEFT(H40,2))&gt;=54,"Loyal Customers",
  VALUE(LEFT(H40,1))&gt;=4,"Potential Loyalists",
  VALUE(RIGHT(H40,2))&gt;=45,"New Customers",
  VALUE(LEFT(H40,1))&lt;=2,"At Risk",
  VALUE(LEFT(H40,1))&lt;=1,"Can't Lose",
  TRUE,"Others"
)</f>
        <v>Potential Loyalists</v>
      </c>
    </row>
    <row r="41" spans="1:9" x14ac:dyDescent="0.35">
      <c r="A41" t="str">
        <v>CUST0131</v>
      </c>
      <c r="B41" s="3">
        <f ca="1">TODAY()-Sheet1!B41</f>
        <v>5</v>
      </c>
      <c r="C41" s="3">
        <f>COUNTIFS(Sheet1!A41:A1040,A41)</f>
        <v>6</v>
      </c>
      <c r="D41" s="4">
        <v>10536.55</v>
      </c>
      <c r="E41" cm="1">
        <f t="array" aca="1" ref="E41" ca="1">_xlfn.IFS(B41&lt;=30,5,B41&lt;=60,4,B41&lt;=90,3,B41&lt;=120,2,TRUE,1)</f>
        <v>5</v>
      </c>
      <c r="F41" cm="1">
        <f t="array" ref="F41">_xlfn.IFS(C41&gt;=8,5,C41&gt;=5,4,C41&gt;=3,3,C41&gt;=2,2,TRUE,1)</f>
        <v>4</v>
      </c>
      <c r="G41" cm="1">
        <f t="array" ref="G41">_xlfn.IFS(D41&gt;=15000,5,D41&gt;=8000,4,D41&gt;=3000,3,D41&gt;=1000,2,TRUE,1)</f>
        <v>4</v>
      </c>
      <c r="H41" t="str">
        <f t="shared" ca="1" si="0"/>
        <v>544</v>
      </c>
      <c r="I41" t="str" cm="1">
        <f t="array" aca="1" ref="I41" ca="1">_xlfn.IFS(
  H41="555","Champions",
  VALUE(LEFT(H41,2))&gt;=54,"Loyal Customers",
  VALUE(LEFT(H41,1))&gt;=4,"Potential Loyalists",
  VALUE(RIGHT(H41,2))&gt;=45,"New Customers",
  VALUE(LEFT(H41,1))&lt;=2,"At Risk",
  VALUE(LEFT(H41,1))&lt;=1,"Can't Lose",
  TRUE,"Others"
)</f>
        <v>Loyal Customers</v>
      </c>
    </row>
    <row r="42" spans="1:9" x14ac:dyDescent="0.35">
      <c r="A42" t="str">
        <v>CUST0104</v>
      </c>
      <c r="B42" s="3">
        <f ca="1">TODAY()-Sheet1!B42</f>
        <v>18</v>
      </c>
      <c r="C42" s="3">
        <f>COUNTIFS(Sheet1!A42:A1041,A42)</f>
        <v>7</v>
      </c>
      <c r="D42" s="4">
        <v>8131.4800000000005</v>
      </c>
      <c r="E42" cm="1">
        <f t="array" aca="1" ref="E42" ca="1">_xlfn.IFS(B42&lt;=30,5,B42&lt;=60,4,B42&lt;=90,3,B42&lt;=120,2,TRUE,1)</f>
        <v>5</v>
      </c>
      <c r="F42" cm="1">
        <f t="array" ref="F42">_xlfn.IFS(C42&gt;=8,5,C42&gt;=5,4,C42&gt;=3,3,C42&gt;=2,2,TRUE,1)</f>
        <v>4</v>
      </c>
      <c r="G42" cm="1">
        <f t="array" ref="G42">_xlfn.IFS(D42&gt;=15000,5,D42&gt;=8000,4,D42&gt;=3000,3,D42&gt;=1000,2,TRUE,1)</f>
        <v>4</v>
      </c>
      <c r="H42" t="str">
        <f t="shared" ca="1" si="0"/>
        <v>544</v>
      </c>
      <c r="I42" t="str" cm="1">
        <f t="array" aca="1" ref="I42" ca="1">_xlfn.IFS(
  H42="555","Champions",
  VALUE(LEFT(H42,2))&gt;=54,"Loyal Customers",
  VALUE(LEFT(H42,1))&gt;=4,"Potential Loyalists",
  VALUE(RIGHT(H42,2))&gt;=45,"New Customers",
  VALUE(LEFT(H42,1))&lt;=2,"At Risk",
  VALUE(LEFT(H42,1))&lt;=1,"Can't Lose",
  TRUE,"Others"
)</f>
        <v>Loyal Customers</v>
      </c>
    </row>
    <row r="43" spans="1:9" x14ac:dyDescent="0.35">
      <c r="A43" t="str">
        <v>CUST0130</v>
      </c>
      <c r="B43" s="3">
        <f ca="1">TODAY()-Sheet1!B43</f>
        <v>31</v>
      </c>
      <c r="C43" s="3">
        <f>COUNTIFS(Sheet1!A43:A1042,A43)</f>
        <v>6</v>
      </c>
      <c r="D43" s="4">
        <v>7683.09</v>
      </c>
      <c r="E43" cm="1">
        <f t="array" aca="1" ref="E43" ca="1">_xlfn.IFS(B43&lt;=30,5,B43&lt;=60,4,B43&lt;=90,3,B43&lt;=120,2,TRUE,1)</f>
        <v>4</v>
      </c>
      <c r="F43" cm="1">
        <f t="array" ref="F43">_xlfn.IFS(C43&gt;=8,5,C43&gt;=5,4,C43&gt;=3,3,C43&gt;=2,2,TRUE,1)</f>
        <v>4</v>
      </c>
      <c r="G43" cm="1">
        <f t="array" ref="G43">_xlfn.IFS(D43&gt;=15000,5,D43&gt;=8000,4,D43&gt;=3000,3,D43&gt;=1000,2,TRUE,1)</f>
        <v>3</v>
      </c>
      <c r="H43" t="str">
        <f t="shared" ca="1" si="0"/>
        <v>443</v>
      </c>
      <c r="I43" t="str" cm="1">
        <f t="array" aca="1" ref="I43" ca="1">_xlfn.IFS(
  H43="555","Champions",
  VALUE(LEFT(H43,2))&gt;=54,"Loyal Customers",
  VALUE(LEFT(H43,1))&gt;=4,"Potential Loyalists",
  VALUE(RIGHT(H43,2))&gt;=45,"New Customers",
  VALUE(LEFT(H43,1))&lt;=2,"At Risk",
  VALUE(LEFT(H43,1))&lt;=1,"Can't Lose",
  TRUE,"Others"
)</f>
        <v>Potential Loyalists</v>
      </c>
    </row>
    <row r="44" spans="1:9" x14ac:dyDescent="0.35">
      <c r="A44" t="str">
        <v>CUST0158</v>
      </c>
      <c r="B44" s="3">
        <f ca="1">TODAY()-Sheet1!B44</f>
        <v>43</v>
      </c>
      <c r="C44" s="3">
        <f>COUNTIFS(Sheet1!A44:A1043,A44)</f>
        <v>6</v>
      </c>
      <c r="D44" s="4">
        <v>7671.73</v>
      </c>
      <c r="E44" cm="1">
        <f t="array" aca="1" ref="E44" ca="1">_xlfn.IFS(B44&lt;=30,5,B44&lt;=60,4,B44&lt;=90,3,B44&lt;=120,2,TRUE,1)</f>
        <v>4</v>
      </c>
      <c r="F44" cm="1">
        <f t="array" ref="F44">_xlfn.IFS(C44&gt;=8,5,C44&gt;=5,4,C44&gt;=3,3,C44&gt;=2,2,TRUE,1)</f>
        <v>4</v>
      </c>
      <c r="G44" cm="1">
        <f t="array" ref="G44">_xlfn.IFS(D44&gt;=15000,5,D44&gt;=8000,4,D44&gt;=3000,3,D44&gt;=1000,2,TRUE,1)</f>
        <v>3</v>
      </c>
      <c r="H44" t="str">
        <f t="shared" ca="1" si="0"/>
        <v>443</v>
      </c>
      <c r="I44" t="str" cm="1">
        <f t="array" aca="1" ref="I44" ca="1">_xlfn.IFS(
  H44="555","Champions",
  VALUE(LEFT(H44,2))&gt;=54,"Loyal Customers",
  VALUE(LEFT(H44,1))&gt;=4,"Potential Loyalists",
  VALUE(RIGHT(H44,2))&gt;=45,"New Customers",
  VALUE(LEFT(H44,1))&lt;=2,"At Risk",
  VALUE(LEFT(H44,1))&lt;=1,"Can't Lose",
  TRUE,"Others"
)</f>
        <v>Potential Loyalists</v>
      </c>
    </row>
    <row r="45" spans="1:9" x14ac:dyDescent="0.35">
      <c r="A45" t="str">
        <v>CUST0142</v>
      </c>
      <c r="B45" s="3">
        <f ca="1">TODAY()-Sheet1!B45</f>
        <v>38</v>
      </c>
      <c r="C45" s="3">
        <f>COUNTIFS(Sheet1!A45:A1044,A45)</f>
        <v>7</v>
      </c>
      <c r="D45" s="4">
        <v>19213.210000000003</v>
      </c>
      <c r="E45" cm="1">
        <f t="array" aca="1" ref="E45" ca="1">_xlfn.IFS(B45&lt;=30,5,B45&lt;=60,4,B45&lt;=90,3,B45&lt;=120,2,TRUE,1)</f>
        <v>4</v>
      </c>
      <c r="F45" cm="1">
        <f t="array" ref="F45">_xlfn.IFS(C45&gt;=8,5,C45&gt;=5,4,C45&gt;=3,3,C45&gt;=2,2,TRUE,1)</f>
        <v>4</v>
      </c>
      <c r="G45" cm="1">
        <f t="array" ref="G45">_xlfn.IFS(D45&gt;=15000,5,D45&gt;=8000,4,D45&gt;=3000,3,D45&gt;=1000,2,TRUE,1)</f>
        <v>5</v>
      </c>
      <c r="H45" t="str">
        <f t="shared" ca="1" si="0"/>
        <v>445</v>
      </c>
      <c r="I45" t="str" cm="1">
        <f t="array" aca="1" ref="I45" ca="1">_xlfn.IFS(
  H45="555","Champions",
  VALUE(LEFT(H45,2))&gt;=54,"Loyal Customers",
  VALUE(LEFT(H45,1))&gt;=4,"Potential Loyalists",
  VALUE(RIGHT(H45,2))&gt;=45,"New Customers",
  VALUE(LEFT(H45,1))&lt;=2,"At Risk",
  VALUE(LEFT(H45,1))&lt;=1,"Can't Lose",
  TRUE,"Others"
)</f>
        <v>Potential Loyalists</v>
      </c>
    </row>
    <row r="46" spans="1:9" x14ac:dyDescent="0.35">
      <c r="A46" t="str">
        <v>CUST0129</v>
      </c>
      <c r="B46" s="3">
        <f ca="1">TODAY()-Sheet1!B46</f>
        <v>50</v>
      </c>
      <c r="C46" s="3">
        <f>COUNTIFS(Sheet1!A46:A1045,A46)</f>
        <v>5</v>
      </c>
      <c r="D46" s="4">
        <v>7521.6900000000005</v>
      </c>
      <c r="E46" cm="1">
        <f t="array" aca="1" ref="E46" ca="1">_xlfn.IFS(B46&lt;=30,5,B46&lt;=60,4,B46&lt;=90,3,B46&lt;=120,2,TRUE,1)</f>
        <v>4</v>
      </c>
      <c r="F46" cm="1">
        <f t="array" ref="F46">_xlfn.IFS(C46&gt;=8,5,C46&gt;=5,4,C46&gt;=3,3,C46&gt;=2,2,TRUE,1)</f>
        <v>4</v>
      </c>
      <c r="G46" cm="1">
        <f t="array" ref="G46">_xlfn.IFS(D46&gt;=15000,5,D46&gt;=8000,4,D46&gt;=3000,3,D46&gt;=1000,2,TRUE,1)</f>
        <v>3</v>
      </c>
      <c r="H46" t="str">
        <f t="shared" ca="1" si="0"/>
        <v>443</v>
      </c>
      <c r="I46" t="str" cm="1">
        <f t="array" aca="1" ref="I46" ca="1">_xlfn.IFS(
  H46="555","Champions",
  VALUE(LEFT(H46,2))&gt;=54,"Loyal Customers",
  VALUE(LEFT(H46,1))&gt;=4,"Potential Loyalists",
  VALUE(RIGHT(H46,2))&gt;=45,"New Customers",
  VALUE(LEFT(H46,1))&lt;=2,"At Risk",
  VALUE(LEFT(H46,1))&lt;=1,"Can't Lose",
  TRUE,"Others"
)</f>
        <v>Potential Loyalists</v>
      </c>
    </row>
    <row r="47" spans="1:9" x14ac:dyDescent="0.35">
      <c r="A47" t="str">
        <v>CUST0103</v>
      </c>
      <c r="B47" s="3">
        <f ca="1">TODAY()-Sheet1!B47</f>
        <v>6</v>
      </c>
      <c r="C47" s="3">
        <f>COUNTIFS(Sheet1!A47:A1046,A47)</f>
        <v>5</v>
      </c>
      <c r="D47" s="4">
        <v>16464.14</v>
      </c>
      <c r="E47" cm="1">
        <f t="array" aca="1" ref="E47" ca="1">_xlfn.IFS(B47&lt;=30,5,B47&lt;=60,4,B47&lt;=90,3,B47&lt;=120,2,TRUE,1)</f>
        <v>5</v>
      </c>
      <c r="F47" cm="1">
        <f t="array" ref="F47">_xlfn.IFS(C47&gt;=8,5,C47&gt;=5,4,C47&gt;=3,3,C47&gt;=2,2,TRUE,1)</f>
        <v>4</v>
      </c>
      <c r="G47" cm="1">
        <f t="array" ref="G47">_xlfn.IFS(D47&gt;=15000,5,D47&gt;=8000,4,D47&gt;=3000,3,D47&gt;=1000,2,TRUE,1)</f>
        <v>5</v>
      </c>
      <c r="H47" t="str">
        <f t="shared" ca="1" si="0"/>
        <v>545</v>
      </c>
      <c r="I47" t="str" cm="1">
        <f t="array" aca="1" ref="I47" ca="1">_xlfn.IFS(
  H47="555","Champions",
  VALUE(LEFT(H47,2))&gt;=54,"Loyal Customers",
  VALUE(LEFT(H47,1))&gt;=4,"Potential Loyalists",
  VALUE(RIGHT(H47,2))&gt;=45,"New Customers",
  VALUE(LEFT(H47,1))&lt;=2,"At Risk",
  VALUE(LEFT(H47,1))&lt;=1,"Can't Lose",
  TRUE,"Others"
)</f>
        <v>Loyal Customers</v>
      </c>
    </row>
    <row r="48" spans="1:9" x14ac:dyDescent="0.35">
      <c r="A48" t="str">
        <v>CUST0132</v>
      </c>
      <c r="B48" s="3">
        <f ca="1">TODAY()-Sheet1!B48</f>
        <v>1</v>
      </c>
      <c r="C48" s="3">
        <f>COUNTIFS(Sheet1!A48:A1047,A48)</f>
        <v>5</v>
      </c>
      <c r="D48" s="4">
        <v>19479.400000000001</v>
      </c>
      <c r="E48" cm="1">
        <f t="array" aca="1" ref="E48" ca="1">_xlfn.IFS(B48&lt;=30,5,B48&lt;=60,4,B48&lt;=90,3,B48&lt;=120,2,TRUE,1)</f>
        <v>5</v>
      </c>
      <c r="F48" cm="1">
        <f t="array" ref="F48">_xlfn.IFS(C48&gt;=8,5,C48&gt;=5,4,C48&gt;=3,3,C48&gt;=2,2,TRUE,1)</f>
        <v>4</v>
      </c>
      <c r="G48" cm="1">
        <f t="array" ref="G48">_xlfn.IFS(D48&gt;=15000,5,D48&gt;=8000,4,D48&gt;=3000,3,D48&gt;=1000,2,TRUE,1)</f>
        <v>5</v>
      </c>
      <c r="H48" t="str">
        <f t="shared" ca="1" si="0"/>
        <v>545</v>
      </c>
      <c r="I48" t="str" cm="1">
        <f t="array" aca="1" ref="I48" ca="1">_xlfn.IFS(
  H48="555","Champions",
  VALUE(LEFT(H48,2))&gt;=54,"Loyal Customers",
  VALUE(LEFT(H48,1))&gt;=4,"Potential Loyalists",
  VALUE(RIGHT(H48,2))&gt;=45,"New Customers",
  VALUE(LEFT(H48,1))&lt;=2,"At Risk",
  VALUE(LEFT(H48,1))&lt;=1,"Can't Lose",
  TRUE,"Others"
)</f>
        <v>Loyal Customers</v>
      </c>
    </row>
    <row r="49" spans="1:9" x14ac:dyDescent="0.35">
      <c r="A49" t="str">
        <v>CUST0112</v>
      </c>
      <c r="B49" s="3">
        <f ca="1">TODAY()-Sheet1!B49</f>
        <v>58</v>
      </c>
      <c r="C49" s="3">
        <f>COUNTIFS(Sheet1!A49:A1048,A49)</f>
        <v>6</v>
      </c>
      <c r="D49" s="4">
        <v>17738.21</v>
      </c>
      <c r="E49" cm="1">
        <f t="array" aca="1" ref="E49" ca="1">_xlfn.IFS(B49&lt;=30,5,B49&lt;=60,4,B49&lt;=90,3,B49&lt;=120,2,TRUE,1)</f>
        <v>4</v>
      </c>
      <c r="F49" cm="1">
        <f t="array" ref="F49">_xlfn.IFS(C49&gt;=8,5,C49&gt;=5,4,C49&gt;=3,3,C49&gt;=2,2,TRUE,1)</f>
        <v>4</v>
      </c>
      <c r="G49" cm="1">
        <f t="array" ref="G49">_xlfn.IFS(D49&gt;=15000,5,D49&gt;=8000,4,D49&gt;=3000,3,D49&gt;=1000,2,TRUE,1)</f>
        <v>5</v>
      </c>
      <c r="H49" t="str">
        <f t="shared" ca="1" si="0"/>
        <v>445</v>
      </c>
      <c r="I49" t="str" cm="1">
        <f t="array" aca="1" ref="I49" ca="1">_xlfn.IFS(
  H49="555","Champions",
  VALUE(LEFT(H49,2))&gt;=54,"Loyal Customers",
  VALUE(LEFT(H49,1))&gt;=4,"Potential Loyalists",
  VALUE(RIGHT(H49,2))&gt;=45,"New Customers",
  VALUE(LEFT(H49,1))&lt;=2,"At Risk",
  VALUE(LEFT(H49,1))&lt;=1,"Can't Lose",
  TRUE,"Others"
)</f>
        <v>Potential Loyalists</v>
      </c>
    </row>
    <row r="50" spans="1:9" x14ac:dyDescent="0.35">
      <c r="A50" t="str">
        <v>CUST0058</v>
      </c>
      <c r="B50" s="3">
        <f ca="1">TODAY()-Sheet1!B50</f>
        <v>16</v>
      </c>
      <c r="C50" s="3">
        <f>COUNTIFS(Sheet1!A50:A1049,A50)</f>
        <v>8</v>
      </c>
      <c r="D50" s="4">
        <v>7147.76</v>
      </c>
      <c r="E50" cm="1">
        <f t="array" aca="1" ref="E50" ca="1">_xlfn.IFS(B50&lt;=30,5,B50&lt;=60,4,B50&lt;=90,3,B50&lt;=120,2,TRUE,1)</f>
        <v>5</v>
      </c>
      <c r="F50" cm="1">
        <f t="array" ref="F50">_xlfn.IFS(C50&gt;=8,5,C50&gt;=5,4,C50&gt;=3,3,C50&gt;=2,2,TRUE,1)</f>
        <v>5</v>
      </c>
      <c r="G50" cm="1">
        <f t="array" ref="G50">_xlfn.IFS(D50&gt;=15000,5,D50&gt;=8000,4,D50&gt;=3000,3,D50&gt;=1000,2,TRUE,1)</f>
        <v>3</v>
      </c>
      <c r="H50" t="str">
        <f t="shared" ca="1" si="0"/>
        <v>553</v>
      </c>
      <c r="I50" t="str" cm="1">
        <f t="array" aca="1" ref="I50" ca="1">_xlfn.IFS(
  H50="555","Champions",
  VALUE(LEFT(H50,2))&gt;=54,"Loyal Customers",
  VALUE(LEFT(H50,1))&gt;=4,"Potential Loyalists",
  VALUE(RIGHT(H50,2))&gt;=45,"New Customers",
  VALUE(LEFT(H50,1))&lt;=2,"At Risk",
  VALUE(LEFT(H50,1))&lt;=1,"Can't Lose",
  TRUE,"Others"
)</f>
        <v>Loyal Customers</v>
      </c>
    </row>
    <row r="51" spans="1:9" x14ac:dyDescent="0.35">
      <c r="A51" t="str">
        <v>CUST0149</v>
      </c>
      <c r="B51" s="3">
        <f ca="1">TODAY()-Sheet1!B51</f>
        <v>10</v>
      </c>
      <c r="C51" s="3">
        <f>COUNTIFS(Sheet1!A51:A1050,A51)</f>
        <v>5</v>
      </c>
      <c r="D51" s="4">
        <v>5896.25</v>
      </c>
      <c r="E51" cm="1">
        <f t="array" aca="1" ref="E51" ca="1">_xlfn.IFS(B51&lt;=30,5,B51&lt;=60,4,B51&lt;=90,3,B51&lt;=120,2,TRUE,1)</f>
        <v>5</v>
      </c>
      <c r="F51" cm="1">
        <f t="array" ref="F51">_xlfn.IFS(C51&gt;=8,5,C51&gt;=5,4,C51&gt;=3,3,C51&gt;=2,2,TRUE,1)</f>
        <v>4</v>
      </c>
      <c r="G51" cm="1">
        <f t="array" ref="G51">_xlfn.IFS(D51&gt;=15000,5,D51&gt;=8000,4,D51&gt;=3000,3,D51&gt;=1000,2,TRUE,1)</f>
        <v>3</v>
      </c>
      <c r="H51" t="str">
        <f t="shared" ca="1" si="0"/>
        <v>543</v>
      </c>
      <c r="I51" t="str" cm="1">
        <f t="array" aca="1" ref="I51" ca="1">_xlfn.IFS(
  H51="555","Champions",
  VALUE(LEFT(H51,2))&gt;=54,"Loyal Customers",
  VALUE(LEFT(H51,1))&gt;=4,"Potential Loyalists",
  VALUE(RIGHT(H51,2))&gt;=45,"New Customers",
  VALUE(LEFT(H51,1))&lt;=2,"At Risk",
  VALUE(LEFT(H51,1))&lt;=1,"Can't Lose",
  TRUE,"Others"
)</f>
        <v>Loyal Customers</v>
      </c>
    </row>
    <row r="52" spans="1:9" x14ac:dyDescent="0.35">
      <c r="A52" t="str">
        <v>CUST0040</v>
      </c>
      <c r="B52" s="3">
        <f ca="1">TODAY()-Sheet1!B52</f>
        <v>8</v>
      </c>
      <c r="C52" s="3">
        <f>COUNTIFS(Sheet1!A52:A1051,A52)</f>
        <v>5</v>
      </c>
      <c r="D52" s="4">
        <v>16001.03</v>
      </c>
      <c r="E52" cm="1">
        <f t="array" aca="1" ref="E52" ca="1">_xlfn.IFS(B52&lt;=30,5,B52&lt;=60,4,B52&lt;=90,3,B52&lt;=120,2,TRUE,1)</f>
        <v>5</v>
      </c>
      <c r="F52" cm="1">
        <f t="array" ref="F52">_xlfn.IFS(C52&gt;=8,5,C52&gt;=5,4,C52&gt;=3,3,C52&gt;=2,2,TRUE,1)</f>
        <v>4</v>
      </c>
      <c r="G52" cm="1">
        <f t="array" ref="G52">_xlfn.IFS(D52&gt;=15000,5,D52&gt;=8000,4,D52&gt;=3000,3,D52&gt;=1000,2,TRUE,1)</f>
        <v>5</v>
      </c>
      <c r="H52" t="str">
        <f t="shared" ca="1" si="0"/>
        <v>545</v>
      </c>
      <c r="I52" t="str" cm="1">
        <f t="array" aca="1" ref="I52" ca="1">_xlfn.IFS(
  H52="555","Champions",
  VALUE(LEFT(H52,2))&gt;=54,"Loyal Customers",
  VALUE(LEFT(H52,1))&gt;=4,"Potential Loyalists",
  VALUE(RIGHT(H52,2))&gt;=45,"New Customers",
  VALUE(LEFT(H52,1))&lt;=2,"At Risk",
  VALUE(LEFT(H52,1))&lt;=1,"Can't Lose",
  TRUE,"Others"
)</f>
        <v>Loyal Customers</v>
      </c>
    </row>
    <row r="53" spans="1:9" x14ac:dyDescent="0.35">
      <c r="A53" t="str">
        <v>CUST0018</v>
      </c>
      <c r="B53" s="3">
        <f ca="1">TODAY()-Sheet1!B53</f>
        <v>59</v>
      </c>
      <c r="C53" s="3">
        <f>COUNTIFS(Sheet1!A53:A1052,A53)</f>
        <v>7</v>
      </c>
      <c r="D53" s="4">
        <v>3902.7499999999995</v>
      </c>
      <c r="E53" cm="1">
        <f t="array" aca="1" ref="E53" ca="1">_xlfn.IFS(B53&lt;=30,5,B53&lt;=60,4,B53&lt;=90,3,B53&lt;=120,2,TRUE,1)</f>
        <v>4</v>
      </c>
      <c r="F53" cm="1">
        <f t="array" ref="F53">_xlfn.IFS(C53&gt;=8,5,C53&gt;=5,4,C53&gt;=3,3,C53&gt;=2,2,TRUE,1)</f>
        <v>4</v>
      </c>
      <c r="G53" cm="1">
        <f t="array" ref="G53">_xlfn.IFS(D53&gt;=15000,5,D53&gt;=8000,4,D53&gt;=3000,3,D53&gt;=1000,2,TRUE,1)</f>
        <v>3</v>
      </c>
      <c r="H53" t="str">
        <f t="shared" ca="1" si="0"/>
        <v>443</v>
      </c>
      <c r="I53" t="str" cm="1">
        <f t="array" aca="1" ref="I53" ca="1">_xlfn.IFS(
  H53="555","Champions",
  VALUE(LEFT(H53,2))&gt;=54,"Loyal Customers",
  VALUE(LEFT(H53,1))&gt;=4,"Potential Loyalists",
  VALUE(RIGHT(H53,2))&gt;=45,"New Customers",
  VALUE(LEFT(H53,1))&lt;=2,"At Risk",
  VALUE(LEFT(H53,1))&lt;=1,"Can't Lose",
  TRUE,"Others"
)</f>
        <v>Potential Loyalists</v>
      </c>
    </row>
    <row r="54" spans="1:9" x14ac:dyDescent="0.35">
      <c r="A54" t="str">
        <v>CUST0017</v>
      </c>
      <c r="B54" s="3">
        <f ca="1">TODAY()-Sheet1!B54</f>
        <v>26</v>
      </c>
      <c r="C54" s="3">
        <f>COUNTIFS(Sheet1!A54:A1053,A54)</f>
        <v>8</v>
      </c>
      <c r="D54" s="4">
        <v>14592.960000000001</v>
      </c>
      <c r="E54" cm="1">
        <f t="array" aca="1" ref="E54" ca="1">_xlfn.IFS(B54&lt;=30,5,B54&lt;=60,4,B54&lt;=90,3,B54&lt;=120,2,TRUE,1)</f>
        <v>5</v>
      </c>
      <c r="F54" cm="1">
        <f t="array" ref="F54">_xlfn.IFS(C54&gt;=8,5,C54&gt;=5,4,C54&gt;=3,3,C54&gt;=2,2,TRUE,1)</f>
        <v>5</v>
      </c>
      <c r="G54" cm="1">
        <f t="array" ref="G54">_xlfn.IFS(D54&gt;=15000,5,D54&gt;=8000,4,D54&gt;=3000,3,D54&gt;=1000,2,TRUE,1)</f>
        <v>4</v>
      </c>
      <c r="H54" t="str">
        <f t="shared" ca="1" si="0"/>
        <v>554</v>
      </c>
      <c r="I54" t="str" cm="1">
        <f t="array" aca="1" ref="I54" ca="1">_xlfn.IFS(
  H54="555","Champions",
  VALUE(LEFT(H54,2))&gt;=54,"Loyal Customers",
  VALUE(LEFT(H54,1))&gt;=4,"Potential Loyalists",
  VALUE(RIGHT(H54,2))&gt;=45,"New Customers",
  VALUE(LEFT(H54,1))&lt;=2,"At Risk",
  VALUE(LEFT(H54,1))&lt;=1,"Can't Lose",
  TRUE,"Others"
)</f>
        <v>Loyal Customers</v>
      </c>
    </row>
    <row r="55" spans="1:9" x14ac:dyDescent="0.35">
      <c r="A55" t="str">
        <v>CUST0107</v>
      </c>
      <c r="B55" s="3">
        <f ca="1">TODAY()-Sheet1!B55</f>
        <v>59</v>
      </c>
      <c r="C55" s="3">
        <f>COUNTIFS(Sheet1!A55:A1054,A55)</f>
        <v>4</v>
      </c>
      <c r="D55" s="4">
        <v>22777.739999999998</v>
      </c>
      <c r="E55" cm="1">
        <f t="array" aca="1" ref="E55" ca="1">_xlfn.IFS(B55&lt;=30,5,B55&lt;=60,4,B55&lt;=90,3,B55&lt;=120,2,TRUE,1)</f>
        <v>4</v>
      </c>
      <c r="F55" cm="1">
        <f t="array" ref="F55">_xlfn.IFS(C55&gt;=8,5,C55&gt;=5,4,C55&gt;=3,3,C55&gt;=2,2,TRUE,1)</f>
        <v>3</v>
      </c>
      <c r="G55" cm="1">
        <f t="array" ref="G55">_xlfn.IFS(D55&gt;=15000,5,D55&gt;=8000,4,D55&gt;=3000,3,D55&gt;=1000,2,TRUE,1)</f>
        <v>5</v>
      </c>
      <c r="H55" t="str">
        <f t="shared" ca="1" si="0"/>
        <v>435</v>
      </c>
      <c r="I55" t="str" cm="1">
        <f t="array" aca="1" ref="I55" ca="1">_xlfn.IFS(
  H55="555","Champions",
  VALUE(LEFT(H55,2))&gt;=54,"Loyal Customers",
  VALUE(LEFT(H55,1))&gt;=4,"Potential Loyalists",
  VALUE(RIGHT(H55,2))&gt;=45,"New Customers",
  VALUE(LEFT(H55,1))&lt;=2,"At Risk",
  VALUE(LEFT(H55,1))&lt;=1,"Can't Lose",
  TRUE,"Others"
)</f>
        <v>Potential Loyalists</v>
      </c>
    </row>
    <row r="56" spans="1:9" x14ac:dyDescent="0.35">
      <c r="A56" t="str">
        <v>CUST0154</v>
      </c>
      <c r="B56" s="3">
        <f ca="1">TODAY()-Sheet1!B56</f>
        <v>37</v>
      </c>
      <c r="C56" s="3">
        <f>COUNTIFS(Sheet1!A56:A1055,A56)</f>
        <v>3</v>
      </c>
      <c r="D56" s="4">
        <v>16188.210000000001</v>
      </c>
      <c r="E56" cm="1">
        <f t="array" aca="1" ref="E56" ca="1">_xlfn.IFS(B56&lt;=30,5,B56&lt;=60,4,B56&lt;=90,3,B56&lt;=120,2,TRUE,1)</f>
        <v>4</v>
      </c>
      <c r="F56" cm="1">
        <f t="array" ref="F56">_xlfn.IFS(C56&gt;=8,5,C56&gt;=5,4,C56&gt;=3,3,C56&gt;=2,2,TRUE,1)</f>
        <v>3</v>
      </c>
      <c r="G56" cm="1">
        <f t="array" ref="G56">_xlfn.IFS(D56&gt;=15000,5,D56&gt;=8000,4,D56&gt;=3000,3,D56&gt;=1000,2,TRUE,1)</f>
        <v>5</v>
      </c>
      <c r="H56" t="str">
        <f t="shared" ca="1" si="0"/>
        <v>435</v>
      </c>
      <c r="I56" t="str" cm="1">
        <f t="array" aca="1" ref="I56" ca="1">_xlfn.IFS(
  H56="555","Champions",
  VALUE(LEFT(H56,2))&gt;=54,"Loyal Customers",
  VALUE(LEFT(H56,1))&gt;=4,"Potential Loyalists",
  VALUE(RIGHT(H56,2))&gt;=45,"New Customers",
  VALUE(LEFT(H56,1))&lt;=2,"At Risk",
  VALUE(LEFT(H56,1))&lt;=1,"Can't Lose",
  TRUE,"Others"
)</f>
        <v>Potential Loyalists</v>
      </c>
    </row>
    <row r="57" spans="1:9" x14ac:dyDescent="0.35">
      <c r="A57" t="str">
        <v>CUST0194</v>
      </c>
      <c r="B57" s="3">
        <f ca="1">TODAY()-Sheet1!B57</f>
        <v>24</v>
      </c>
      <c r="C57" s="3">
        <f>COUNTIFS(Sheet1!A57:A1056,A57)</f>
        <v>8</v>
      </c>
      <c r="D57" s="4">
        <v>19183.54</v>
      </c>
      <c r="E57" cm="1">
        <f t="array" aca="1" ref="E57" ca="1">_xlfn.IFS(B57&lt;=30,5,B57&lt;=60,4,B57&lt;=90,3,B57&lt;=120,2,TRUE,1)</f>
        <v>5</v>
      </c>
      <c r="F57" cm="1">
        <f t="array" ref="F57">_xlfn.IFS(C57&gt;=8,5,C57&gt;=5,4,C57&gt;=3,3,C57&gt;=2,2,TRUE,1)</f>
        <v>5</v>
      </c>
      <c r="G57" cm="1">
        <f t="array" ref="G57">_xlfn.IFS(D57&gt;=15000,5,D57&gt;=8000,4,D57&gt;=3000,3,D57&gt;=1000,2,TRUE,1)</f>
        <v>5</v>
      </c>
      <c r="H57" t="str">
        <f t="shared" ca="1" si="0"/>
        <v>555</v>
      </c>
      <c r="I57" t="str" cm="1">
        <f t="array" aca="1" ref="I57" ca="1">_xlfn.IFS(
  H57="555","Champions",
  VALUE(LEFT(H57,2))&gt;=54,"Loyal Customers",
  VALUE(LEFT(H57,1))&gt;=4,"Potential Loyalists",
  VALUE(RIGHT(H57,2))&gt;=45,"New Customers",
  VALUE(LEFT(H57,1))&lt;=2,"At Risk",
  VALUE(LEFT(H57,1))&lt;=1,"Can't Lose",
  TRUE,"Others"
)</f>
        <v>Champions</v>
      </c>
    </row>
    <row r="58" spans="1:9" x14ac:dyDescent="0.35">
      <c r="A58" t="str">
        <v>CUST0198</v>
      </c>
      <c r="B58" s="3">
        <f ca="1">TODAY()-Sheet1!B58</f>
        <v>46</v>
      </c>
      <c r="C58" s="3">
        <f>COUNTIFS(Sheet1!A58:A1057,A58)</f>
        <v>1</v>
      </c>
      <c r="D58" s="4">
        <v>12798.16</v>
      </c>
      <c r="E58" cm="1">
        <f t="array" aca="1" ref="E58" ca="1">_xlfn.IFS(B58&lt;=30,5,B58&lt;=60,4,B58&lt;=90,3,B58&lt;=120,2,TRUE,1)</f>
        <v>4</v>
      </c>
      <c r="F58" cm="1">
        <f t="array" ref="F58">_xlfn.IFS(C58&gt;=8,5,C58&gt;=5,4,C58&gt;=3,3,C58&gt;=2,2,TRUE,1)</f>
        <v>1</v>
      </c>
      <c r="G58" cm="1">
        <f t="array" ref="G58">_xlfn.IFS(D58&gt;=15000,5,D58&gt;=8000,4,D58&gt;=3000,3,D58&gt;=1000,2,TRUE,1)</f>
        <v>4</v>
      </c>
      <c r="H58" t="str">
        <f t="shared" ca="1" si="0"/>
        <v>414</v>
      </c>
      <c r="I58" t="str" cm="1">
        <f t="array" aca="1" ref="I58" ca="1">_xlfn.IFS(
  H58="555","Champions",
  VALUE(LEFT(H58,2))&gt;=54,"Loyal Customers",
  VALUE(LEFT(H58,1))&gt;=4,"Potential Loyalists",
  VALUE(RIGHT(H58,2))&gt;=45,"New Customers",
  VALUE(LEFT(H58,1))&lt;=2,"At Risk",
  VALUE(LEFT(H58,1))&lt;=1,"Can't Lose",
  TRUE,"Others"
)</f>
        <v>Potential Loyalists</v>
      </c>
    </row>
    <row r="59" spans="1:9" x14ac:dyDescent="0.35">
      <c r="A59" t="str">
        <v>CUST0165</v>
      </c>
      <c r="B59" s="3">
        <f ca="1">TODAY()-Sheet1!B59</f>
        <v>58</v>
      </c>
      <c r="C59" s="3">
        <f>COUNTIFS(Sheet1!A59:A1058,A59)</f>
        <v>5</v>
      </c>
      <c r="D59" s="4">
        <v>16337.51</v>
      </c>
      <c r="E59" cm="1">
        <f t="array" aca="1" ref="E59" ca="1">_xlfn.IFS(B59&lt;=30,5,B59&lt;=60,4,B59&lt;=90,3,B59&lt;=120,2,TRUE,1)</f>
        <v>4</v>
      </c>
      <c r="F59" cm="1">
        <f t="array" ref="F59">_xlfn.IFS(C59&gt;=8,5,C59&gt;=5,4,C59&gt;=3,3,C59&gt;=2,2,TRUE,1)</f>
        <v>4</v>
      </c>
      <c r="G59" cm="1">
        <f t="array" ref="G59">_xlfn.IFS(D59&gt;=15000,5,D59&gt;=8000,4,D59&gt;=3000,3,D59&gt;=1000,2,TRUE,1)</f>
        <v>5</v>
      </c>
      <c r="H59" t="str">
        <f t="shared" ca="1" si="0"/>
        <v>445</v>
      </c>
      <c r="I59" t="str" cm="1">
        <f t="array" aca="1" ref="I59" ca="1">_xlfn.IFS(
  H59="555","Champions",
  VALUE(LEFT(H59,2))&gt;=54,"Loyal Customers",
  VALUE(LEFT(H59,1))&gt;=4,"Potential Loyalists",
  VALUE(RIGHT(H59,2))&gt;=45,"New Customers",
  VALUE(LEFT(H59,1))&lt;=2,"At Risk",
  VALUE(LEFT(H59,1))&lt;=1,"Can't Lose",
  TRUE,"Others"
)</f>
        <v>Potential Loyalists</v>
      </c>
    </row>
    <row r="60" spans="1:9" x14ac:dyDescent="0.35">
      <c r="A60" t="str">
        <v>CUST0150</v>
      </c>
      <c r="B60" s="3">
        <f ca="1">TODAY()-Sheet1!B60</f>
        <v>27</v>
      </c>
      <c r="C60" s="3">
        <f>COUNTIFS(Sheet1!A60:A1059,A60)</f>
        <v>9</v>
      </c>
      <c r="D60" s="4">
        <v>18073.73</v>
      </c>
      <c r="E60" cm="1">
        <f t="array" aca="1" ref="E60" ca="1">_xlfn.IFS(B60&lt;=30,5,B60&lt;=60,4,B60&lt;=90,3,B60&lt;=120,2,TRUE,1)</f>
        <v>5</v>
      </c>
      <c r="F60" cm="1">
        <f t="array" ref="F60">_xlfn.IFS(C60&gt;=8,5,C60&gt;=5,4,C60&gt;=3,3,C60&gt;=2,2,TRUE,1)</f>
        <v>5</v>
      </c>
      <c r="G60" cm="1">
        <f t="array" ref="G60">_xlfn.IFS(D60&gt;=15000,5,D60&gt;=8000,4,D60&gt;=3000,3,D60&gt;=1000,2,TRUE,1)</f>
        <v>5</v>
      </c>
      <c r="H60" t="str">
        <f t="shared" ca="1" si="0"/>
        <v>555</v>
      </c>
      <c r="I60" t="str" cm="1">
        <f t="array" aca="1" ref="I60" ca="1">_xlfn.IFS(
  H60="555","Champions",
  VALUE(LEFT(H60,2))&gt;=54,"Loyal Customers",
  VALUE(LEFT(H60,1))&gt;=4,"Potential Loyalists",
  VALUE(RIGHT(H60,2))&gt;=45,"New Customers",
  VALUE(LEFT(H60,1))&lt;=2,"At Risk",
  VALUE(LEFT(H60,1))&lt;=1,"Can't Lose",
  TRUE,"Others"
)</f>
        <v>Champions</v>
      </c>
    </row>
    <row r="61" spans="1:9" x14ac:dyDescent="0.35">
      <c r="A61" t="str">
        <v>CUST0169</v>
      </c>
      <c r="B61" s="3">
        <f ca="1">TODAY()-Sheet1!B61</f>
        <v>52</v>
      </c>
      <c r="C61" s="3">
        <f>COUNTIFS(Sheet1!A61:A1060,A61)</f>
        <v>8</v>
      </c>
      <c r="D61" s="4">
        <v>11673.11</v>
      </c>
      <c r="E61" cm="1">
        <f t="array" aca="1" ref="E61" ca="1">_xlfn.IFS(B61&lt;=30,5,B61&lt;=60,4,B61&lt;=90,3,B61&lt;=120,2,TRUE,1)</f>
        <v>4</v>
      </c>
      <c r="F61" cm="1">
        <f t="array" ref="F61">_xlfn.IFS(C61&gt;=8,5,C61&gt;=5,4,C61&gt;=3,3,C61&gt;=2,2,TRUE,1)</f>
        <v>5</v>
      </c>
      <c r="G61" cm="1">
        <f t="array" ref="G61">_xlfn.IFS(D61&gt;=15000,5,D61&gt;=8000,4,D61&gt;=3000,3,D61&gt;=1000,2,TRUE,1)</f>
        <v>4</v>
      </c>
      <c r="H61" t="str">
        <f t="shared" ca="1" si="0"/>
        <v>454</v>
      </c>
      <c r="I61" t="str" cm="1">
        <f t="array" aca="1" ref="I61" ca="1">_xlfn.IFS(
  H61="555","Champions",
  VALUE(LEFT(H61,2))&gt;=54,"Loyal Customers",
  VALUE(LEFT(H61,1))&gt;=4,"Potential Loyalists",
  VALUE(RIGHT(H61,2))&gt;=45,"New Customers",
  VALUE(LEFT(H61,1))&lt;=2,"At Risk",
  VALUE(LEFT(H61,1))&lt;=1,"Can't Lose",
  TRUE,"Others"
)</f>
        <v>Potential Loyalists</v>
      </c>
    </row>
    <row r="62" spans="1:9" x14ac:dyDescent="0.35">
      <c r="A62" t="str">
        <v>CUST0163</v>
      </c>
      <c r="B62" s="3">
        <f ca="1">TODAY()-Sheet1!B62</f>
        <v>30</v>
      </c>
      <c r="C62" s="3">
        <f>COUNTIFS(Sheet1!A62:A1061,A62)</f>
        <v>2</v>
      </c>
      <c r="D62" s="4">
        <v>17886.640000000003</v>
      </c>
      <c r="E62" cm="1">
        <f t="array" aca="1" ref="E62" ca="1">_xlfn.IFS(B62&lt;=30,5,B62&lt;=60,4,B62&lt;=90,3,B62&lt;=120,2,TRUE,1)</f>
        <v>5</v>
      </c>
      <c r="F62" cm="1">
        <f t="array" ref="F62">_xlfn.IFS(C62&gt;=8,5,C62&gt;=5,4,C62&gt;=3,3,C62&gt;=2,2,TRUE,1)</f>
        <v>2</v>
      </c>
      <c r="G62" cm="1">
        <f t="array" ref="G62">_xlfn.IFS(D62&gt;=15000,5,D62&gt;=8000,4,D62&gt;=3000,3,D62&gt;=1000,2,TRUE,1)</f>
        <v>5</v>
      </c>
      <c r="H62" t="str">
        <f t="shared" ca="1" si="0"/>
        <v>525</v>
      </c>
      <c r="I62" t="str" cm="1">
        <f t="array" aca="1" ref="I62" ca="1">_xlfn.IFS(
  H62="555","Champions",
  VALUE(LEFT(H62,2))&gt;=54,"Loyal Customers",
  VALUE(LEFT(H62,1))&gt;=4,"Potential Loyalists",
  VALUE(RIGHT(H62,2))&gt;=45,"New Customers",
  VALUE(LEFT(H62,1))&lt;=2,"At Risk",
  VALUE(LEFT(H62,1))&lt;=1,"Can't Lose",
  TRUE,"Others"
)</f>
        <v>Potential Loyalists</v>
      </c>
    </row>
    <row r="63" spans="1:9" x14ac:dyDescent="0.35">
      <c r="A63" t="str">
        <v>CUST0200</v>
      </c>
      <c r="B63" s="3">
        <f ca="1">TODAY()-Sheet1!B63</f>
        <v>57</v>
      </c>
      <c r="C63" s="3">
        <f>COUNTIFS(Sheet1!A63:A1062,A63)</f>
        <v>8</v>
      </c>
      <c r="D63" s="4">
        <v>18005.170000000002</v>
      </c>
      <c r="E63" cm="1">
        <f t="array" aca="1" ref="E63" ca="1">_xlfn.IFS(B63&lt;=30,5,B63&lt;=60,4,B63&lt;=90,3,B63&lt;=120,2,TRUE,1)</f>
        <v>4</v>
      </c>
      <c r="F63" cm="1">
        <f t="array" ref="F63">_xlfn.IFS(C63&gt;=8,5,C63&gt;=5,4,C63&gt;=3,3,C63&gt;=2,2,TRUE,1)</f>
        <v>5</v>
      </c>
      <c r="G63" cm="1">
        <f t="array" ref="G63">_xlfn.IFS(D63&gt;=15000,5,D63&gt;=8000,4,D63&gt;=3000,3,D63&gt;=1000,2,TRUE,1)</f>
        <v>5</v>
      </c>
      <c r="H63" t="str">
        <f t="shared" ca="1" si="0"/>
        <v>455</v>
      </c>
      <c r="I63" t="str" cm="1">
        <f t="array" aca="1" ref="I63" ca="1">_xlfn.IFS(
  H63="555","Champions",
  VALUE(LEFT(H63,2))&gt;=54,"Loyal Customers",
  VALUE(LEFT(H63,1))&gt;=4,"Potential Loyalists",
  VALUE(RIGHT(H63,2))&gt;=45,"New Customers",
  VALUE(LEFT(H63,1))&lt;=2,"At Risk",
  VALUE(LEFT(H63,1))&lt;=1,"Can't Lose",
  TRUE,"Others"
)</f>
        <v>Potential Loyalists</v>
      </c>
    </row>
    <row r="64" spans="1:9" x14ac:dyDescent="0.35">
      <c r="A64" t="str">
        <v>CUST0136</v>
      </c>
      <c r="B64" s="3">
        <f ca="1">TODAY()-Sheet1!B64</f>
        <v>62</v>
      </c>
      <c r="C64" s="3">
        <f>COUNTIFS(Sheet1!A64:A1063,A64)</f>
        <v>5</v>
      </c>
      <c r="D64" s="4">
        <v>7849.11</v>
      </c>
      <c r="E64" cm="1">
        <f t="array" aca="1" ref="E64" ca="1">_xlfn.IFS(B64&lt;=30,5,B64&lt;=60,4,B64&lt;=90,3,B64&lt;=120,2,TRUE,1)</f>
        <v>3</v>
      </c>
      <c r="F64" cm="1">
        <f t="array" ref="F64">_xlfn.IFS(C64&gt;=8,5,C64&gt;=5,4,C64&gt;=3,3,C64&gt;=2,2,TRUE,1)</f>
        <v>4</v>
      </c>
      <c r="G64" cm="1">
        <f t="array" ref="G64">_xlfn.IFS(D64&gt;=15000,5,D64&gt;=8000,4,D64&gt;=3000,3,D64&gt;=1000,2,TRUE,1)</f>
        <v>3</v>
      </c>
      <c r="H64" t="str">
        <f t="shared" ca="1" si="0"/>
        <v>343</v>
      </c>
      <c r="I64" t="str" cm="1">
        <f t="array" aca="1" ref="I64" ca="1">_xlfn.IFS(
  H64="555","Champions",
  VALUE(LEFT(H64,2))&gt;=54,"Loyal Customers",
  VALUE(LEFT(H64,1))&gt;=4,"Potential Loyalists",
  VALUE(RIGHT(H64,2))&gt;=45,"New Customers",
  VALUE(LEFT(H64,1))&lt;=2,"At Risk",
  VALUE(LEFT(H64,1))&lt;=1,"Can't Lose",
  TRUE,"Others"
)</f>
        <v>Others</v>
      </c>
    </row>
    <row r="65" spans="1:9" x14ac:dyDescent="0.35">
      <c r="A65" t="str">
        <v>CUST0052</v>
      </c>
      <c r="B65" s="3">
        <f ca="1">TODAY()-Sheet1!B65</f>
        <v>60</v>
      </c>
      <c r="C65" s="3">
        <f>COUNTIFS(Sheet1!A65:A1064,A65)</f>
        <v>4</v>
      </c>
      <c r="D65" s="4">
        <v>26846.429999999997</v>
      </c>
      <c r="E65" cm="1">
        <f t="array" aca="1" ref="E65" ca="1">_xlfn.IFS(B65&lt;=30,5,B65&lt;=60,4,B65&lt;=90,3,B65&lt;=120,2,TRUE,1)</f>
        <v>4</v>
      </c>
      <c r="F65" cm="1">
        <f t="array" ref="F65">_xlfn.IFS(C65&gt;=8,5,C65&gt;=5,4,C65&gt;=3,3,C65&gt;=2,2,TRUE,1)</f>
        <v>3</v>
      </c>
      <c r="G65" cm="1">
        <f t="array" ref="G65">_xlfn.IFS(D65&gt;=15000,5,D65&gt;=8000,4,D65&gt;=3000,3,D65&gt;=1000,2,TRUE,1)</f>
        <v>5</v>
      </c>
      <c r="H65" t="str">
        <f t="shared" ca="1" si="0"/>
        <v>435</v>
      </c>
      <c r="I65" t="str" cm="1">
        <f t="array" aca="1" ref="I65" ca="1">_xlfn.IFS(
  H65="555","Champions",
  VALUE(LEFT(H65,2))&gt;=54,"Loyal Customers",
  VALUE(LEFT(H65,1))&gt;=4,"Potential Loyalists",
  VALUE(RIGHT(H65,2))&gt;=45,"New Customers",
  VALUE(LEFT(H65,1))&lt;=2,"At Risk",
  VALUE(LEFT(H65,1))&lt;=1,"Can't Lose",
  TRUE,"Others"
)</f>
        <v>Potential Loyalists</v>
      </c>
    </row>
    <row r="66" spans="1:9" x14ac:dyDescent="0.35">
      <c r="A66" t="str">
        <v>CUST0053</v>
      </c>
      <c r="B66" s="3">
        <f ca="1">TODAY()-Sheet1!B66</f>
        <v>28</v>
      </c>
      <c r="C66" s="3">
        <f>COUNTIFS(Sheet1!A66:A1065,A66)</f>
        <v>6</v>
      </c>
      <c r="D66" s="4">
        <v>19463.050000000003</v>
      </c>
      <c r="E66" cm="1">
        <f t="array" aca="1" ref="E66" ca="1">_xlfn.IFS(B66&lt;=30,5,B66&lt;=60,4,B66&lt;=90,3,B66&lt;=120,2,TRUE,1)</f>
        <v>5</v>
      </c>
      <c r="F66" cm="1">
        <f t="array" ref="F66">_xlfn.IFS(C66&gt;=8,5,C66&gt;=5,4,C66&gt;=3,3,C66&gt;=2,2,TRUE,1)</f>
        <v>4</v>
      </c>
      <c r="G66" cm="1">
        <f t="array" ref="G66">_xlfn.IFS(D66&gt;=15000,5,D66&gt;=8000,4,D66&gt;=3000,3,D66&gt;=1000,2,TRUE,1)</f>
        <v>5</v>
      </c>
      <c r="H66" t="str">
        <f t="shared" ca="1" si="0"/>
        <v>545</v>
      </c>
      <c r="I66" t="str" cm="1">
        <f t="array" aca="1" ref="I66" ca="1">_xlfn.IFS(
  H66="555","Champions",
  VALUE(LEFT(H66,2))&gt;=54,"Loyal Customers",
  VALUE(LEFT(H66,1))&gt;=4,"Potential Loyalists",
  VALUE(RIGHT(H66,2))&gt;=45,"New Customers",
  VALUE(LEFT(H66,1))&lt;=2,"At Risk",
  VALUE(LEFT(H66,1))&lt;=1,"Can't Lose",
  TRUE,"Others"
)</f>
        <v>Loyal Customers</v>
      </c>
    </row>
    <row r="67" spans="1:9" x14ac:dyDescent="0.35">
      <c r="A67" t="str">
        <v>CUST0176</v>
      </c>
      <c r="B67" s="3">
        <f ca="1">TODAY()-Sheet1!B67</f>
        <v>48</v>
      </c>
      <c r="C67" s="3">
        <f>COUNTIFS(Sheet1!A67:A1066,A67)</f>
        <v>7</v>
      </c>
      <c r="D67" s="4">
        <v>12065.39</v>
      </c>
      <c r="E67" cm="1">
        <f t="array" aca="1" ref="E67" ca="1">_xlfn.IFS(B67&lt;=30,5,B67&lt;=60,4,B67&lt;=90,3,B67&lt;=120,2,TRUE,1)</f>
        <v>4</v>
      </c>
      <c r="F67" cm="1">
        <f t="array" ref="F67">_xlfn.IFS(C67&gt;=8,5,C67&gt;=5,4,C67&gt;=3,3,C67&gt;=2,2,TRUE,1)</f>
        <v>4</v>
      </c>
      <c r="G67" cm="1">
        <f t="array" ref="G67">_xlfn.IFS(D67&gt;=15000,5,D67&gt;=8000,4,D67&gt;=3000,3,D67&gt;=1000,2,TRUE,1)</f>
        <v>4</v>
      </c>
      <c r="H67" t="str">
        <f t="shared" ref="H67:H130" ca="1" si="1">E67&amp;F67&amp;G67</f>
        <v>444</v>
      </c>
      <c r="I67" t="str" cm="1">
        <f t="array" aca="1" ref="I67" ca="1">_xlfn.IFS(
  H67="555","Champions",
  VALUE(LEFT(H67,2))&gt;=54,"Loyal Customers",
  VALUE(LEFT(H67,1))&gt;=4,"Potential Loyalists",
  VALUE(RIGHT(H67,2))&gt;=45,"New Customers",
  VALUE(LEFT(H67,1))&lt;=2,"At Risk",
  VALUE(LEFT(H67,1))&lt;=1,"Can't Lose",
  TRUE,"Others"
)</f>
        <v>Potential Loyalists</v>
      </c>
    </row>
    <row r="68" spans="1:9" x14ac:dyDescent="0.35">
      <c r="A68" t="str">
        <v>CUST0084</v>
      </c>
      <c r="B68" s="3">
        <f ca="1">TODAY()-Sheet1!B68</f>
        <v>13</v>
      </c>
      <c r="C68" s="3">
        <f>COUNTIFS(Sheet1!A68:A1067,A68)</f>
        <v>5</v>
      </c>
      <c r="D68" s="4">
        <v>25572.99</v>
      </c>
      <c r="E68" cm="1">
        <f t="array" aca="1" ref="E68" ca="1">_xlfn.IFS(B68&lt;=30,5,B68&lt;=60,4,B68&lt;=90,3,B68&lt;=120,2,TRUE,1)</f>
        <v>5</v>
      </c>
      <c r="F68" cm="1">
        <f t="array" ref="F68">_xlfn.IFS(C68&gt;=8,5,C68&gt;=5,4,C68&gt;=3,3,C68&gt;=2,2,TRUE,1)</f>
        <v>4</v>
      </c>
      <c r="G68" cm="1">
        <f t="array" ref="G68">_xlfn.IFS(D68&gt;=15000,5,D68&gt;=8000,4,D68&gt;=3000,3,D68&gt;=1000,2,TRUE,1)</f>
        <v>5</v>
      </c>
      <c r="H68" t="str">
        <f t="shared" ca="1" si="1"/>
        <v>545</v>
      </c>
      <c r="I68" t="str" cm="1">
        <f t="array" aca="1" ref="I68" ca="1">_xlfn.IFS(
  H68="555","Champions",
  VALUE(LEFT(H68,2))&gt;=54,"Loyal Customers",
  VALUE(LEFT(H68,1))&gt;=4,"Potential Loyalists",
  VALUE(RIGHT(H68,2))&gt;=45,"New Customers",
  VALUE(LEFT(H68,1))&lt;=2,"At Risk",
  VALUE(LEFT(H68,1))&lt;=1,"Can't Lose",
  TRUE,"Others"
)</f>
        <v>Loyal Customers</v>
      </c>
    </row>
    <row r="69" spans="1:9" x14ac:dyDescent="0.35">
      <c r="A69" t="str">
        <v>CUST0109</v>
      </c>
      <c r="B69" s="3">
        <f ca="1">TODAY()-Sheet1!B69</f>
        <v>2</v>
      </c>
      <c r="C69" s="3">
        <f>COUNTIFS(Sheet1!A69:A1068,A69)</f>
        <v>8</v>
      </c>
      <c r="D69" s="4">
        <v>20752.12</v>
      </c>
      <c r="E69" cm="1">
        <f t="array" aca="1" ref="E69" ca="1">_xlfn.IFS(B69&lt;=30,5,B69&lt;=60,4,B69&lt;=90,3,B69&lt;=120,2,TRUE,1)</f>
        <v>5</v>
      </c>
      <c r="F69" cm="1">
        <f t="array" ref="F69">_xlfn.IFS(C69&gt;=8,5,C69&gt;=5,4,C69&gt;=3,3,C69&gt;=2,2,TRUE,1)</f>
        <v>5</v>
      </c>
      <c r="G69" cm="1">
        <f t="array" ref="G69">_xlfn.IFS(D69&gt;=15000,5,D69&gt;=8000,4,D69&gt;=3000,3,D69&gt;=1000,2,TRUE,1)</f>
        <v>5</v>
      </c>
      <c r="H69" t="str">
        <f t="shared" ca="1" si="1"/>
        <v>555</v>
      </c>
      <c r="I69" t="str" cm="1">
        <f t="array" aca="1" ref="I69" ca="1">_xlfn.IFS(
  H69="555","Champions",
  VALUE(LEFT(H69,2))&gt;=54,"Loyal Customers",
  VALUE(LEFT(H69,1))&gt;=4,"Potential Loyalists",
  VALUE(RIGHT(H69,2))&gt;=45,"New Customers",
  VALUE(LEFT(H69,1))&lt;=2,"At Risk",
  VALUE(LEFT(H69,1))&lt;=1,"Can't Lose",
  TRUE,"Others"
)</f>
        <v>Champions</v>
      </c>
    </row>
    <row r="70" spans="1:9" x14ac:dyDescent="0.35">
      <c r="A70" t="str">
        <v>CUST0125</v>
      </c>
      <c r="B70" s="3">
        <f ca="1">TODAY()-Sheet1!B70</f>
        <v>21</v>
      </c>
      <c r="C70" s="3">
        <f>COUNTIFS(Sheet1!A70:A1069,A70)</f>
        <v>2</v>
      </c>
      <c r="D70" s="4">
        <v>13036.5</v>
      </c>
      <c r="E70" cm="1">
        <f t="array" aca="1" ref="E70" ca="1">_xlfn.IFS(B70&lt;=30,5,B70&lt;=60,4,B70&lt;=90,3,B70&lt;=120,2,TRUE,1)</f>
        <v>5</v>
      </c>
      <c r="F70" cm="1">
        <f t="array" ref="F70">_xlfn.IFS(C70&gt;=8,5,C70&gt;=5,4,C70&gt;=3,3,C70&gt;=2,2,TRUE,1)</f>
        <v>2</v>
      </c>
      <c r="G70" cm="1">
        <f t="array" ref="G70">_xlfn.IFS(D70&gt;=15000,5,D70&gt;=8000,4,D70&gt;=3000,3,D70&gt;=1000,2,TRUE,1)</f>
        <v>4</v>
      </c>
      <c r="H70" t="str">
        <f t="shared" ca="1" si="1"/>
        <v>524</v>
      </c>
      <c r="I70" t="str" cm="1">
        <f t="array" aca="1" ref="I70" ca="1">_xlfn.IFS(
  H70="555","Champions",
  VALUE(LEFT(H70,2))&gt;=54,"Loyal Customers",
  VALUE(LEFT(H70,1))&gt;=4,"Potential Loyalists",
  VALUE(RIGHT(H70,2))&gt;=45,"New Customers",
  VALUE(LEFT(H70,1))&lt;=2,"At Risk",
  VALUE(LEFT(H70,1))&lt;=1,"Can't Lose",
  TRUE,"Others"
)</f>
        <v>Potential Loyalists</v>
      </c>
    </row>
    <row r="71" spans="1:9" x14ac:dyDescent="0.35">
      <c r="A71" t="str">
        <v>CUST0178</v>
      </c>
      <c r="B71" s="3">
        <f ca="1">TODAY()-Sheet1!B71</f>
        <v>20</v>
      </c>
      <c r="C71" s="3">
        <f>COUNTIFS(Sheet1!A71:A1070,A71)</f>
        <v>7</v>
      </c>
      <c r="D71" s="4">
        <v>17454.310000000001</v>
      </c>
      <c r="E71" cm="1">
        <f t="array" aca="1" ref="E71" ca="1">_xlfn.IFS(B71&lt;=30,5,B71&lt;=60,4,B71&lt;=90,3,B71&lt;=120,2,TRUE,1)</f>
        <v>5</v>
      </c>
      <c r="F71" cm="1">
        <f t="array" ref="F71">_xlfn.IFS(C71&gt;=8,5,C71&gt;=5,4,C71&gt;=3,3,C71&gt;=2,2,TRUE,1)</f>
        <v>4</v>
      </c>
      <c r="G71" cm="1">
        <f t="array" ref="G71">_xlfn.IFS(D71&gt;=15000,5,D71&gt;=8000,4,D71&gt;=3000,3,D71&gt;=1000,2,TRUE,1)</f>
        <v>5</v>
      </c>
      <c r="H71" t="str">
        <f t="shared" ca="1" si="1"/>
        <v>545</v>
      </c>
      <c r="I71" t="str" cm="1">
        <f t="array" aca="1" ref="I71" ca="1">_xlfn.IFS(
  H71="555","Champions",
  VALUE(LEFT(H71,2))&gt;=54,"Loyal Customers",
  VALUE(LEFT(H71,1))&gt;=4,"Potential Loyalists",
  VALUE(RIGHT(H71,2))&gt;=45,"New Customers",
  VALUE(LEFT(H71,1))&lt;=2,"At Risk",
  VALUE(LEFT(H71,1))&lt;=1,"Can't Lose",
  TRUE,"Others"
)</f>
        <v>Loyal Customers</v>
      </c>
    </row>
    <row r="72" spans="1:9" x14ac:dyDescent="0.35">
      <c r="A72" t="str">
        <v>CUST0159</v>
      </c>
      <c r="B72" s="3">
        <f ca="1">TODAY()-Sheet1!B72</f>
        <v>48</v>
      </c>
      <c r="C72" s="3">
        <f>COUNTIFS(Sheet1!A72:A1071,A72)</f>
        <v>4</v>
      </c>
      <c r="D72" s="4">
        <v>17414.32</v>
      </c>
      <c r="E72" cm="1">
        <f t="array" aca="1" ref="E72" ca="1">_xlfn.IFS(B72&lt;=30,5,B72&lt;=60,4,B72&lt;=90,3,B72&lt;=120,2,TRUE,1)</f>
        <v>4</v>
      </c>
      <c r="F72" cm="1">
        <f t="array" ref="F72">_xlfn.IFS(C72&gt;=8,5,C72&gt;=5,4,C72&gt;=3,3,C72&gt;=2,2,TRUE,1)</f>
        <v>3</v>
      </c>
      <c r="G72" cm="1">
        <f t="array" ref="G72">_xlfn.IFS(D72&gt;=15000,5,D72&gt;=8000,4,D72&gt;=3000,3,D72&gt;=1000,2,TRUE,1)</f>
        <v>5</v>
      </c>
      <c r="H72" t="str">
        <f t="shared" ca="1" si="1"/>
        <v>435</v>
      </c>
      <c r="I72" t="str" cm="1">
        <f t="array" aca="1" ref="I72" ca="1">_xlfn.IFS(
  H72="555","Champions",
  VALUE(LEFT(H72,2))&gt;=54,"Loyal Customers",
  VALUE(LEFT(H72,1))&gt;=4,"Potential Loyalists",
  VALUE(RIGHT(H72,2))&gt;=45,"New Customers",
  VALUE(LEFT(H72,1))&lt;=2,"At Risk",
  VALUE(LEFT(H72,1))&lt;=1,"Can't Lose",
  TRUE,"Others"
)</f>
        <v>Potential Loyalists</v>
      </c>
    </row>
    <row r="73" spans="1:9" x14ac:dyDescent="0.35">
      <c r="A73" t="str">
        <v>CUST0152</v>
      </c>
      <c r="B73" s="3">
        <f ca="1">TODAY()-Sheet1!B73</f>
        <v>40</v>
      </c>
      <c r="C73" s="3">
        <f>COUNTIFS(Sheet1!A73:A1072,A73)</f>
        <v>9</v>
      </c>
      <c r="D73" s="4">
        <v>23216.74</v>
      </c>
      <c r="E73" cm="1">
        <f t="array" aca="1" ref="E73" ca="1">_xlfn.IFS(B73&lt;=30,5,B73&lt;=60,4,B73&lt;=90,3,B73&lt;=120,2,TRUE,1)</f>
        <v>4</v>
      </c>
      <c r="F73" cm="1">
        <f t="array" ref="F73">_xlfn.IFS(C73&gt;=8,5,C73&gt;=5,4,C73&gt;=3,3,C73&gt;=2,2,TRUE,1)</f>
        <v>5</v>
      </c>
      <c r="G73" cm="1">
        <f t="array" ref="G73">_xlfn.IFS(D73&gt;=15000,5,D73&gt;=8000,4,D73&gt;=3000,3,D73&gt;=1000,2,TRUE,1)</f>
        <v>5</v>
      </c>
      <c r="H73" t="str">
        <f t="shared" ca="1" si="1"/>
        <v>455</v>
      </c>
      <c r="I73" t="str" cm="1">
        <f t="array" aca="1" ref="I73" ca="1">_xlfn.IFS(
  H73="555","Champions",
  VALUE(LEFT(H73,2))&gt;=54,"Loyal Customers",
  VALUE(LEFT(H73,1))&gt;=4,"Potential Loyalists",
  VALUE(RIGHT(H73,2))&gt;=45,"New Customers",
  VALUE(LEFT(H73,1))&lt;=2,"At Risk",
  VALUE(LEFT(H73,1))&lt;=1,"Can't Lose",
  TRUE,"Others"
)</f>
        <v>Potential Loyalists</v>
      </c>
    </row>
    <row r="74" spans="1:9" x14ac:dyDescent="0.35">
      <c r="A74" t="str">
        <v>CUST0100</v>
      </c>
      <c r="B74" s="3">
        <f ca="1">TODAY()-Sheet1!B74</f>
        <v>42</v>
      </c>
      <c r="C74" s="3">
        <f>COUNTIFS(Sheet1!A74:A1073,A74)</f>
        <v>7</v>
      </c>
      <c r="D74" s="4">
        <v>23065.079999999998</v>
      </c>
      <c r="E74" cm="1">
        <f t="array" aca="1" ref="E74" ca="1">_xlfn.IFS(B74&lt;=30,5,B74&lt;=60,4,B74&lt;=90,3,B74&lt;=120,2,TRUE,1)</f>
        <v>4</v>
      </c>
      <c r="F74" cm="1">
        <f t="array" ref="F74">_xlfn.IFS(C74&gt;=8,5,C74&gt;=5,4,C74&gt;=3,3,C74&gt;=2,2,TRUE,1)</f>
        <v>4</v>
      </c>
      <c r="G74" cm="1">
        <f t="array" ref="G74">_xlfn.IFS(D74&gt;=15000,5,D74&gt;=8000,4,D74&gt;=3000,3,D74&gt;=1000,2,TRUE,1)</f>
        <v>5</v>
      </c>
      <c r="H74" t="str">
        <f t="shared" ca="1" si="1"/>
        <v>445</v>
      </c>
      <c r="I74" t="str" cm="1">
        <f t="array" aca="1" ref="I74" ca="1">_xlfn.IFS(
  H74="555","Champions",
  VALUE(LEFT(H74,2))&gt;=54,"Loyal Customers",
  VALUE(LEFT(H74,1))&gt;=4,"Potential Loyalists",
  VALUE(RIGHT(H74,2))&gt;=45,"New Customers",
  VALUE(LEFT(H74,1))&lt;=2,"At Risk",
  VALUE(LEFT(H74,1))&lt;=1,"Can't Lose",
  TRUE,"Others"
)</f>
        <v>Potential Loyalists</v>
      </c>
    </row>
    <row r="75" spans="1:9" x14ac:dyDescent="0.35">
      <c r="A75" t="str">
        <v>CUST0133</v>
      </c>
      <c r="B75" s="3">
        <f ca="1">TODAY()-Sheet1!B75</f>
        <v>19</v>
      </c>
      <c r="C75" s="3">
        <f>COUNTIFS(Sheet1!A75:A1074,A75)</f>
        <v>4</v>
      </c>
      <c r="D75" s="4">
        <v>6137.85</v>
      </c>
      <c r="E75" cm="1">
        <f t="array" aca="1" ref="E75" ca="1">_xlfn.IFS(B75&lt;=30,5,B75&lt;=60,4,B75&lt;=90,3,B75&lt;=120,2,TRUE,1)</f>
        <v>5</v>
      </c>
      <c r="F75" cm="1">
        <f t="array" ref="F75">_xlfn.IFS(C75&gt;=8,5,C75&gt;=5,4,C75&gt;=3,3,C75&gt;=2,2,TRUE,1)</f>
        <v>3</v>
      </c>
      <c r="G75" cm="1">
        <f t="array" ref="G75">_xlfn.IFS(D75&gt;=15000,5,D75&gt;=8000,4,D75&gt;=3000,3,D75&gt;=1000,2,TRUE,1)</f>
        <v>3</v>
      </c>
      <c r="H75" t="str">
        <f t="shared" ca="1" si="1"/>
        <v>533</v>
      </c>
      <c r="I75" t="str" cm="1">
        <f t="array" aca="1" ref="I75" ca="1">_xlfn.IFS(
  H75="555","Champions",
  VALUE(LEFT(H75,2))&gt;=54,"Loyal Customers",
  VALUE(LEFT(H75,1))&gt;=4,"Potential Loyalists",
  VALUE(RIGHT(H75,2))&gt;=45,"New Customers",
  VALUE(LEFT(H75,1))&lt;=2,"At Risk",
  VALUE(LEFT(H75,1))&lt;=1,"Can't Lose",
  TRUE,"Others"
)</f>
        <v>Potential Loyalists</v>
      </c>
    </row>
    <row r="76" spans="1:9" x14ac:dyDescent="0.35">
      <c r="A76" t="str">
        <v>CUST0102</v>
      </c>
      <c r="B76" s="3">
        <f ca="1">TODAY()-Sheet1!B76</f>
        <v>23</v>
      </c>
      <c r="C76" s="3">
        <f>COUNTIFS(Sheet1!A76:A1075,A76)</f>
        <v>5</v>
      </c>
      <c r="D76" s="4">
        <v>3076.3</v>
      </c>
      <c r="E76" cm="1">
        <f t="array" aca="1" ref="E76" ca="1">_xlfn.IFS(B76&lt;=30,5,B76&lt;=60,4,B76&lt;=90,3,B76&lt;=120,2,TRUE,1)</f>
        <v>5</v>
      </c>
      <c r="F76" cm="1">
        <f t="array" ref="F76">_xlfn.IFS(C76&gt;=8,5,C76&gt;=5,4,C76&gt;=3,3,C76&gt;=2,2,TRUE,1)</f>
        <v>4</v>
      </c>
      <c r="G76" cm="1">
        <f t="array" ref="G76">_xlfn.IFS(D76&gt;=15000,5,D76&gt;=8000,4,D76&gt;=3000,3,D76&gt;=1000,2,TRUE,1)</f>
        <v>3</v>
      </c>
      <c r="H76" t="str">
        <f t="shared" ca="1" si="1"/>
        <v>543</v>
      </c>
      <c r="I76" t="str" cm="1">
        <f t="array" aca="1" ref="I76" ca="1">_xlfn.IFS(
  H76="555","Champions",
  VALUE(LEFT(H76,2))&gt;=54,"Loyal Customers",
  VALUE(LEFT(H76,1))&gt;=4,"Potential Loyalists",
  VALUE(RIGHT(H76,2))&gt;=45,"New Customers",
  VALUE(LEFT(H76,1))&lt;=2,"At Risk",
  VALUE(LEFT(H76,1))&lt;=1,"Can't Lose",
  TRUE,"Others"
)</f>
        <v>Loyal Customers</v>
      </c>
    </row>
    <row r="77" spans="1:9" x14ac:dyDescent="0.35">
      <c r="A77" t="str">
        <v>CUST0160</v>
      </c>
      <c r="B77" s="3">
        <f ca="1">TODAY()-Sheet1!B77</f>
        <v>50</v>
      </c>
      <c r="C77" s="3">
        <f>COUNTIFS(Sheet1!A77:A1076,A77)</f>
        <v>8</v>
      </c>
      <c r="D77" s="4">
        <v>2160.6999999999998</v>
      </c>
      <c r="E77" cm="1">
        <f t="array" aca="1" ref="E77" ca="1">_xlfn.IFS(B77&lt;=30,5,B77&lt;=60,4,B77&lt;=90,3,B77&lt;=120,2,TRUE,1)</f>
        <v>4</v>
      </c>
      <c r="F77" cm="1">
        <f t="array" ref="F77">_xlfn.IFS(C77&gt;=8,5,C77&gt;=5,4,C77&gt;=3,3,C77&gt;=2,2,TRUE,1)</f>
        <v>5</v>
      </c>
      <c r="G77" cm="1">
        <f t="array" ref="G77">_xlfn.IFS(D77&gt;=15000,5,D77&gt;=8000,4,D77&gt;=3000,3,D77&gt;=1000,2,TRUE,1)</f>
        <v>2</v>
      </c>
      <c r="H77" t="str">
        <f t="shared" ca="1" si="1"/>
        <v>452</v>
      </c>
      <c r="I77" t="str" cm="1">
        <f t="array" aca="1" ref="I77" ca="1">_xlfn.IFS(
  H77="555","Champions",
  VALUE(LEFT(H77,2))&gt;=54,"Loyal Customers",
  VALUE(LEFT(H77,1))&gt;=4,"Potential Loyalists",
  VALUE(RIGHT(H77,2))&gt;=45,"New Customers",
  VALUE(LEFT(H77,1))&lt;=2,"At Risk",
  VALUE(LEFT(H77,1))&lt;=1,"Can't Lose",
  TRUE,"Others"
)</f>
        <v>Potential Loyalists</v>
      </c>
    </row>
    <row r="78" spans="1:9" x14ac:dyDescent="0.35">
      <c r="A78" t="str">
        <v>CUST0115</v>
      </c>
      <c r="B78" s="3">
        <f ca="1">TODAY()-Sheet1!B78</f>
        <v>47</v>
      </c>
      <c r="C78" s="3">
        <f>COUNTIFS(Sheet1!A78:A1077,A78)</f>
        <v>8</v>
      </c>
      <c r="D78" s="4">
        <v>7065.9400000000005</v>
      </c>
      <c r="E78" cm="1">
        <f t="array" aca="1" ref="E78" ca="1">_xlfn.IFS(B78&lt;=30,5,B78&lt;=60,4,B78&lt;=90,3,B78&lt;=120,2,TRUE,1)</f>
        <v>4</v>
      </c>
      <c r="F78" cm="1">
        <f t="array" ref="F78">_xlfn.IFS(C78&gt;=8,5,C78&gt;=5,4,C78&gt;=3,3,C78&gt;=2,2,TRUE,1)</f>
        <v>5</v>
      </c>
      <c r="G78" cm="1">
        <f t="array" ref="G78">_xlfn.IFS(D78&gt;=15000,5,D78&gt;=8000,4,D78&gt;=3000,3,D78&gt;=1000,2,TRUE,1)</f>
        <v>3</v>
      </c>
      <c r="H78" t="str">
        <f t="shared" ca="1" si="1"/>
        <v>453</v>
      </c>
      <c r="I78" t="str" cm="1">
        <f t="array" aca="1" ref="I78" ca="1">_xlfn.IFS(
  H78="555","Champions",
  VALUE(LEFT(H78,2))&gt;=54,"Loyal Customers",
  VALUE(LEFT(H78,1))&gt;=4,"Potential Loyalists",
  VALUE(RIGHT(H78,2))&gt;=45,"New Customers",
  VALUE(LEFT(H78,1))&lt;=2,"At Risk",
  VALUE(LEFT(H78,1))&lt;=1,"Can't Lose",
  TRUE,"Others"
)</f>
        <v>Potential Loyalists</v>
      </c>
    </row>
    <row r="79" spans="1:9" x14ac:dyDescent="0.35">
      <c r="A79" t="str">
        <v>CUST0106</v>
      </c>
      <c r="B79" s="3">
        <f ca="1">TODAY()-Sheet1!B79</f>
        <v>70</v>
      </c>
      <c r="C79" s="3">
        <f>COUNTIFS(Sheet1!A79:A1078,A79)</f>
        <v>4</v>
      </c>
      <c r="D79" s="4">
        <v>25746.49</v>
      </c>
      <c r="E79" cm="1">
        <f t="array" aca="1" ref="E79" ca="1">_xlfn.IFS(B79&lt;=30,5,B79&lt;=60,4,B79&lt;=90,3,B79&lt;=120,2,TRUE,1)</f>
        <v>3</v>
      </c>
      <c r="F79" cm="1">
        <f t="array" ref="F79">_xlfn.IFS(C79&gt;=8,5,C79&gt;=5,4,C79&gt;=3,3,C79&gt;=2,2,TRUE,1)</f>
        <v>3</v>
      </c>
      <c r="G79" cm="1">
        <f t="array" ref="G79">_xlfn.IFS(D79&gt;=15000,5,D79&gt;=8000,4,D79&gt;=3000,3,D79&gt;=1000,2,TRUE,1)</f>
        <v>5</v>
      </c>
      <c r="H79" t="str">
        <f t="shared" ca="1" si="1"/>
        <v>335</v>
      </c>
      <c r="I79" t="str" cm="1">
        <f t="array" aca="1" ref="I79" ca="1">_xlfn.IFS(
  H79="555","Champions",
  VALUE(LEFT(H79,2))&gt;=54,"Loyal Customers",
  VALUE(LEFT(H79,1))&gt;=4,"Potential Loyalists",
  VALUE(RIGHT(H79,2))&gt;=45,"New Customers",
  VALUE(LEFT(H79,1))&lt;=2,"At Risk",
  VALUE(LEFT(H79,1))&lt;=1,"Can't Lose",
  TRUE,"Others"
)</f>
        <v>Others</v>
      </c>
    </row>
    <row r="80" spans="1:9" x14ac:dyDescent="0.35">
      <c r="A80" t="str">
        <v>CUST0077</v>
      </c>
      <c r="B80" s="3">
        <f ca="1">TODAY()-Sheet1!B80</f>
        <v>9</v>
      </c>
      <c r="C80" s="3">
        <f>COUNTIFS(Sheet1!A80:A1079,A80)</f>
        <v>5</v>
      </c>
      <c r="D80" s="4">
        <v>9188.34</v>
      </c>
      <c r="E80" cm="1">
        <f t="array" aca="1" ref="E80" ca="1">_xlfn.IFS(B80&lt;=30,5,B80&lt;=60,4,B80&lt;=90,3,B80&lt;=120,2,TRUE,1)</f>
        <v>5</v>
      </c>
      <c r="F80" cm="1">
        <f t="array" ref="F80">_xlfn.IFS(C80&gt;=8,5,C80&gt;=5,4,C80&gt;=3,3,C80&gt;=2,2,TRUE,1)</f>
        <v>4</v>
      </c>
      <c r="G80" cm="1">
        <f t="array" ref="G80">_xlfn.IFS(D80&gt;=15000,5,D80&gt;=8000,4,D80&gt;=3000,3,D80&gt;=1000,2,TRUE,1)</f>
        <v>4</v>
      </c>
      <c r="H80" t="str">
        <f t="shared" ca="1" si="1"/>
        <v>544</v>
      </c>
      <c r="I80" t="str" cm="1">
        <f t="array" aca="1" ref="I80" ca="1">_xlfn.IFS(
  H80="555","Champions",
  VALUE(LEFT(H80,2))&gt;=54,"Loyal Customers",
  VALUE(LEFT(H80,1))&gt;=4,"Potential Loyalists",
  VALUE(RIGHT(H80,2))&gt;=45,"New Customers",
  VALUE(LEFT(H80,1))&lt;=2,"At Risk",
  VALUE(LEFT(H80,1))&lt;=1,"Can't Lose",
  TRUE,"Others"
)</f>
        <v>Loyal Customers</v>
      </c>
    </row>
    <row r="81" spans="1:9" x14ac:dyDescent="0.35">
      <c r="A81" t="str">
        <v>CUST0055</v>
      </c>
      <c r="B81" s="3">
        <f ca="1">TODAY()-Sheet1!B81</f>
        <v>23</v>
      </c>
      <c r="C81" s="3">
        <f>COUNTIFS(Sheet1!A81:A1080,A81)</f>
        <v>4</v>
      </c>
      <c r="D81" s="4">
        <v>11858.130000000001</v>
      </c>
      <c r="E81" cm="1">
        <f t="array" aca="1" ref="E81" ca="1">_xlfn.IFS(B81&lt;=30,5,B81&lt;=60,4,B81&lt;=90,3,B81&lt;=120,2,TRUE,1)</f>
        <v>5</v>
      </c>
      <c r="F81" cm="1">
        <f t="array" ref="F81">_xlfn.IFS(C81&gt;=8,5,C81&gt;=5,4,C81&gt;=3,3,C81&gt;=2,2,TRUE,1)</f>
        <v>3</v>
      </c>
      <c r="G81" cm="1">
        <f t="array" ref="G81">_xlfn.IFS(D81&gt;=15000,5,D81&gt;=8000,4,D81&gt;=3000,3,D81&gt;=1000,2,TRUE,1)</f>
        <v>4</v>
      </c>
      <c r="H81" t="str">
        <f t="shared" ca="1" si="1"/>
        <v>534</v>
      </c>
      <c r="I81" t="str" cm="1">
        <f t="array" aca="1" ref="I81" ca="1">_xlfn.IFS(
  H81="555","Champions",
  VALUE(LEFT(H81,2))&gt;=54,"Loyal Customers",
  VALUE(LEFT(H81,1))&gt;=4,"Potential Loyalists",
  VALUE(RIGHT(H81,2))&gt;=45,"New Customers",
  VALUE(LEFT(H81,1))&lt;=2,"At Risk",
  VALUE(LEFT(H81,1))&lt;=1,"Can't Lose",
  TRUE,"Others"
)</f>
        <v>Potential Loyalists</v>
      </c>
    </row>
    <row r="82" spans="1:9" x14ac:dyDescent="0.35">
      <c r="A82" t="str">
        <v>CUST0110</v>
      </c>
      <c r="B82" s="3">
        <f ca="1">TODAY()-Sheet1!B82</f>
        <v>37</v>
      </c>
      <c r="C82" s="3">
        <f>COUNTIFS(Sheet1!A82:A1081,A82)</f>
        <v>8</v>
      </c>
      <c r="D82" s="4">
        <v>17024.699999999997</v>
      </c>
      <c r="E82" cm="1">
        <f t="array" aca="1" ref="E82" ca="1">_xlfn.IFS(B82&lt;=30,5,B82&lt;=60,4,B82&lt;=90,3,B82&lt;=120,2,TRUE,1)</f>
        <v>4</v>
      </c>
      <c r="F82" cm="1">
        <f t="array" ref="F82">_xlfn.IFS(C82&gt;=8,5,C82&gt;=5,4,C82&gt;=3,3,C82&gt;=2,2,TRUE,1)</f>
        <v>5</v>
      </c>
      <c r="G82" cm="1">
        <f t="array" ref="G82">_xlfn.IFS(D82&gt;=15000,5,D82&gt;=8000,4,D82&gt;=3000,3,D82&gt;=1000,2,TRUE,1)</f>
        <v>5</v>
      </c>
      <c r="H82" t="str">
        <f t="shared" ca="1" si="1"/>
        <v>455</v>
      </c>
      <c r="I82" t="str" cm="1">
        <f t="array" aca="1" ref="I82" ca="1">_xlfn.IFS(
  H82="555","Champions",
  VALUE(LEFT(H82,2))&gt;=54,"Loyal Customers",
  VALUE(LEFT(H82,1))&gt;=4,"Potential Loyalists",
  VALUE(RIGHT(H82,2))&gt;=45,"New Customers",
  VALUE(LEFT(H82,1))&lt;=2,"At Risk",
  VALUE(LEFT(H82,1))&lt;=1,"Can't Lose",
  TRUE,"Others"
)</f>
        <v>Potential Loyalists</v>
      </c>
    </row>
    <row r="83" spans="1:9" x14ac:dyDescent="0.35">
      <c r="A83" t="str">
        <v>CUST0012</v>
      </c>
      <c r="B83" s="3">
        <f ca="1">TODAY()-Sheet1!B83</f>
        <v>27</v>
      </c>
      <c r="C83" s="3">
        <f>COUNTIFS(Sheet1!A83:A1082,A83)</f>
        <v>4</v>
      </c>
      <c r="D83" s="4">
        <v>10909.27</v>
      </c>
      <c r="E83" cm="1">
        <f t="array" aca="1" ref="E83" ca="1">_xlfn.IFS(B83&lt;=30,5,B83&lt;=60,4,B83&lt;=90,3,B83&lt;=120,2,TRUE,1)</f>
        <v>5</v>
      </c>
      <c r="F83" cm="1">
        <f t="array" ref="F83">_xlfn.IFS(C83&gt;=8,5,C83&gt;=5,4,C83&gt;=3,3,C83&gt;=2,2,TRUE,1)</f>
        <v>3</v>
      </c>
      <c r="G83" cm="1">
        <f t="array" ref="G83">_xlfn.IFS(D83&gt;=15000,5,D83&gt;=8000,4,D83&gt;=3000,3,D83&gt;=1000,2,TRUE,1)</f>
        <v>4</v>
      </c>
      <c r="H83" t="str">
        <f t="shared" ca="1" si="1"/>
        <v>534</v>
      </c>
      <c r="I83" t="str" cm="1">
        <f t="array" aca="1" ref="I83" ca="1">_xlfn.IFS(
  H83="555","Champions",
  VALUE(LEFT(H83,2))&gt;=54,"Loyal Customers",
  VALUE(LEFT(H83,1))&gt;=4,"Potential Loyalists",
  VALUE(RIGHT(H83,2))&gt;=45,"New Customers",
  VALUE(LEFT(H83,1))&lt;=2,"At Risk",
  VALUE(LEFT(H83,1))&lt;=1,"Can't Lose",
  TRUE,"Others"
)</f>
        <v>Potential Loyalists</v>
      </c>
    </row>
    <row r="84" spans="1:9" x14ac:dyDescent="0.35">
      <c r="A84" t="str">
        <v>CUST0057</v>
      </c>
      <c r="B84" s="3">
        <f ca="1">TODAY()-Sheet1!B84</f>
        <v>2</v>
      </c>
      <c r="C84" s="3">
        <f>COUNTIFS(Sheet1!A84:A1083,A84)</f>
        <v>5</v>
      </c>
      <c r="D84" s="4">
        <v>7584.58</v>
      </c>
      <c r="E84" cm="1">
        <f t="array" aca="1" ref="E84" ca="1">_xlfn.IFS(B84&lt;=30,5,B84&lt;=60,4,B84&lt;=90,3,B84&lt;=120,2,TRUE,1)</f>
        <v>5</v>
      </c>
      <c r="F84" cm="1">
        <f t="array" ref="F84">_xlfn.IFS(C84&gt;=8,5,C84&gt;=5,4,C84&gt;=3,3,C84&gt;=2,2,TRUE,1)</f>
        <v>4</v>
      </c>
      <c r="G84" cm="1">
        <f t="array" ref="G84">_xlfn.IFS(D84&gt;=15000,5,D84&gt;=8000,4,D84&gt;=3000,3,D84&gt;=1000,2,TRUE,1)</f>
        <v>3</v>
      </c>
      <c r="H84" t="str">
        <f t="shared" ca="1" si="1"/>
        <v>543</v>
      </c>
      <c r="I84" t="str" cm="1">
        <f t="array" aca="1" ref="I84" ca="1">_xlfn.IFS(
  H84="555","Champions",
  VALUE(LEFT(H84,2))&gt;=54,"Loyal Customers",
  VALUE(LEFT(H84,1))&gt;=4,"Potential Loyalists",
  VALUE(RIGHT(H84,2))&gt;=45,"New Customers",
  VALUE(LEFT(H84,1))&lt;=2,"At Risk",
  VALUE(LEFT(H84,1))&lt;=1,"Can't Lose",
  TRUE,"Others"
)</f>
        <v>Loyal Customers</v>
      </c>
    </row>
    <row r="85" spans="1:9" x14ac:dyDescent="0.35">
      <c r="A85" t="str">
        <v>CUST0087</v>
      </c>
      <c r="B85" s="3">
        <f ca="1">TODAY()-Sheet1!B85</f>
        <v>21</v>
      </c>
      <c r="C85" s="3">
        <f>COUNTIFS(Sheet1!A85:A1084,A85)</f>
        <v>6</v>
      </c>
      <c r="D85" s="4">
        <v>18881.060000000001</v>
      </c>
      <c r="E85" cm="1">
        <f t="array" aca="1" ref="E85" ca="1">_xlfn.IFS(B85&lt;=30,5,B85&lt;=60,4,B85&lt;=90,3,B85&lt;=120,2,TRUE,1)</f>
        <v>5</v>
      </c>
      <c r="F85" cm="1">
        <f t="array" ref="F85">_xlfn.IFS(C85&gt;=8,5,C85&gt;=5,4,C85&gt;=3,3,C85&gt;=2,2,TRUE,1)</f>
        <v>4</v>
      </c>
      <c r="G85" cm="1">
        <f t="array" ref="G85">_xlfn.IFS(D85&gt;=15000,5,D85&gt;=8000,4,D85&gt;=3000,3,D85&gt;=1000,2,TRUE,1)</f>
        <v>5</v>
      </c>
      <c r="H85" t="str">
        <f t="shared" ca="1" si="1"/>
        <v>545</v>
      </c>
      <c r="I85" t="str" cm="1">
        <f t="array" aca="1" ref="I85" ca="1">_xlfn.IFS(
  H85="555","Champions",
  VALUE(LEFT(H85,2))&gt;=54,"Loyal Customers",
  VALUE(LEFT(H85,1))&gt;=4,"Potential Loyalists",
  VALUE(RIGHT(H85,2))&gt;=45,"New Customers",
  VALUE(LEFT(H85,1))&lt;=2,"At Risk",
  VALUE(LEFT(H85,1))&lt;=1,"Can't Lose",
  TRUE,"Others"
)</f>
        <v>Loyal Customers</v>
      </c>
    </row>
    <row r="86" spans="1:9" x14ac:dyDescent="0.35">
      <c r="A86" t="str">
        <v>CUST0066</v>
      </c>
      <c r="B86" s="3">
        <f ca="1">TODAY()-Sheet1!B86</f>
        <v>33</v>
      </c>
      <c r="C86" s="3">
        <f>COUNTIFS(Sheet1!A86:A1085,A86)</f>
        <v>4</v>
      </c>
      <c r="D86" s="4">
        <v>17777.769999999997</v>
      </c>
      <c r="E86" cm="1">
        <f t="array" aca="1" ref="E86" ca="1">_xlfn.IFS(B86&lt;=30,5,B86&lt;=60,4,B86&lt;=90,3,B86&lt;=120,2,TRUE,1)</f>
        <v>4</v>
      </c>
      <c r="F86" cm="1">
        <f t="array" ref="F86">_xlfn.IFS(C86&gt;=8,5,C86&gt;=5,4,C86&gt;=3,3,C86&gt;=2,2,TRUE,1)</f>
        <v>3</v>
      </c>
      <c r="G86" cm="1">
        <f t="array" ref="G86">_xlfn.IFS(D86&gt;=15000,5,D86&gt;=8000,4,D86&gt;=3000,3,D86&gt;=1000,2,TRUE,1)</f>
        <v>5</v>
      </c>
      <c r="H86" t="str">
        <f t="shared" ca="1" si="1"/>
        <v>435</v>
      </c>
      <c r="I86" t="str" cm="1">
        <f t="array" aca="1" ref="I86" ca="1">_xlfn.IFS(
  H86="555","Champions",
  VALUE(LEFT(H86,2))&gt;=54,"Loyal Customers",
  VALUE(LEFT(H86,1))&gt;=4,"Potential Loyalists",
  VALUE(RIGHT(H86,2))&gt;=45,"New Customers",
  VALUE(LEFT(H86,1))&lt;=2,"At Risk",
  VALUE(LEFT(H86,1))&lt;=1,"Can't Lose",
  TRUE,"Others"
)</f>
        <v>Potential Loyalists</v>
      </c>
    </row>
    <row r="87" spans="1:9" x14ac:dyDescent="0.35">
      <c r="A87" t="str">
        <v>CUST0011</v>
      </c>
      <c r="B87" s="3">
        <f ca="1">TODAY()-Sheet1!B87</f>
        <v>28</v>
      </c>
      <c r="C87" s="3">
        <f>COUNTIFS(Sheet1!A87:A1086,A87)</f>
        <v>3</v>
      </c>
      <c r="D87" s="4">
        <v>25869.469999999998</v>
      </c>
      <c r="E87" cm="1">
        <f t="array" aca="1" ref="E87" ca="1">_xlfn.IFS(B87&lt;=30,5,B87&lt;=60,4,B87&lt;=90,3,B87&lt;=120,2,TRUE,1)</f>
        <v>5</v>
      </c>
      <c r="F87" cm="1">
        <f t="array" ref="F87">_xlfn.IFS(C87&gt;=8,5,C87&gt;=5,4,C87&gt;=3,3,C87&gt;=2,2,TRUE,1)</f>
        <v>3</v>
      </c>
      <c r="G87" cm="1">
        <f t="array" ref="G87">_xlfn.IFS(D87&gt;=15000,5,D87&gt;=8000,4,D87&gt;=3000,3,D87&gt;=1000,2,TRUE,1)</f>
        <v>5</v>
      </c>
      <c r="H87" t="str">
        <f t="shared" ca="1" si="1"/>
        <v>535</v>
      </c>
      <c r="I87" t="str" cm="1">
        <f t="array" aca="1" ref="I87" ca="1">_xlfn.IFS(
  H87="555","Champions",
  VALUE(LEFT(H87,2))&gt;=54,"Loyal Customers",
  VALUE(LEFT(H87,1))&gt;=4,"Potential Loyalists",
  VALUE(RIGHT(H87,2))&gt;=45,"New Customers",
  VALUE(LEFT(H87,1))&lt;=2,"At Risk",
  VALUE(LEFT(H87,1))&lt;=1,"Can't Lose",
  TRUE,"Others"
)</f>
        <v>Potential Loyalists</v>
      </c>
    </row>
    <row r="88" spans="1:9" x14ac:dyDescent="0.35">
      <c r="A88" t="str">
        <v>CUST0126</v>
      </c>
      <c r="B88" s="3">
        <f ca="1">TODAY()-Sheet1!B88</f>
        <v>58</v>
      </c>
      <c r="C88" s="3">
        <f>COUNTIFS(Sheet1!A88:A1087,A88)</f>
        <v>3</v>
      </c>
      <c r="D88" s="4">
        <v>4923.63</v>
      </c>
      <c r="E88" cm="1">
        <f t="array" aca="1" ref="E88" ca="1">_xlfn.IFS(B88&lt;=30,5,B88&lt;=60,4,B88&lt;=90,3,B88&lt;=120,2,TRUE,1)</f>
        <v>4</v>
      </c>
      <c r="F88" cm="1">
        <f t="array" ref="F88">_xlfn.IFS(C88&gt;=8,5,C88&gt;=5,4,C88&gt;=3,3,C88&gt;=2,2,TRUE,1)</f>
        <v>3</v>
      </c>
      <c r="G88" cm="1">
        <f t="array" ref="G88">_xlfn.IFS(D88&gt;=15000,5,D88&gt;=8000,4,D88&gt;=3000,3,D88&gt;=1000,2,TRUE,1)</f>
        <v>3</v>
      </c>
      <c r="H88" t="str">
        <f t="shared" ca="1" si="1"/>
        <v>433</v>
      </c>
      <c r="I88" t="str" cm="1">
        <f t="array" aca="1" ref="I88" ca="1">_xlfn.IFS(
  H88="555","Champions",
  VALUE(LEFT(H88,2))&gt;=54,"Loyal Customers",
  VALUE(LEFT(H88,1))&gt;=4,"Potential Loyalists",
  VALUE(RIGHT(H88,2))&gt;=45,"New Customers",
  VALUE(LEFT(H88,1))&lt;=2,"At Risk",
  VALUE(LEFT(H88,1))&lt;=1,"Can't Lose",
  TRUE,"Others"
)</f>
        <v>Potential Loyalists</v>
      </c>
    </row>
    <row r="89" spans="1:9" x14ac:dyDescent="0.35">
      <c r="A89" t="str">
        <v>CUST0060</v>
      </c>
      <c r="B89" s="3">
        <f ca="1">TODAY()-Sheet1!B89</f>
        <v>34</v>
      </c>
      <c r="C89" s="3">
        <f>COUNTIFS(Sheet1!A89:A1088,A89)</f>
        <v>6</v>
      </c>
      <c r="D89" s="4">
        <v>11988.87</v>
      </c>
      <c r="E89" cm="1">
        <f t="array" aca="1" ref="E89" ca="1">_xlfn.IFS(B89&lt;=30,5,B89&lt;=60,4,B89&lt;=90,3,B89&lt;=120,2,TRUE,1)</f>
        <v>4</v>
      </c>
      <c r="F89" cm="1">
        <f t="array" ref="F89">_xlfn.IFS(C89&gt;=8,5,C89&gt;=5,4,C89&gt;=3,3,C89&gt;=2,2,TRUE,1)</f>
        <v>4</v>
      </c>
      <c r="G89" cm="1">
        <f t="array" ref="G89">_xlfn.IFS(D89&gt;=15000,5,D89&gt;=8000,4,D89&gt;=3000,3,D89&gt;=1000,2,TRUE,1)</f>
        <v>4</v>
      </c>
      <c r="H89" t="str">
        <f t="shared" ca="1" si="1"/>
        <v>444</v>
      </c>
      <c r="I89" t="str" cm="1">
        <f t="array" aca="1" ref="I89" ca="1">_xlfn.IFS(
  H89="555","Champions",
  VALUE(LEFT(H89,2))&gt;=54,"Loyal Customers",
  VALUE(LEFT(H89,1))&gt;=4,"Potential Loyalists",
  VALUE(RIGHT(H89,2))&gt;=45,"New Customers",
  VALUE(LEFT(H89,1))&lt;=2,"At Risk",
  VALUE(LEFT(H89,1))&lt;=1,"Can't Lose",
  TRUE,"Others"
)</f>
        <v>Potential Loyalists</v>
      </c>
    </row>
    <row r="90" spans="1:9" x14ac:dyDescent="0.35">
      <c r="A90" t="str">
        <v>CUST0182</v>
      </c>
      <c r="B90" s="3">
        <f ca="1">TODAY()-Sheet1!B90</f>
        <v>14</v>
      </c>
      <c r="C90" s="3">
        <f>COUNTIFS(Sheet1!A90:A1089,A90)</f>
        <v>3</v>
      </c>
      <c r="D90" s="4">
        <v>8590.630000000001</v>
      </c>
      <c r="E90" cm="1">
        <f t="array" aca="1" ref="E90" ca="1">_xlfn.IFS(B90&lt;=30,5,B90&lt;=60,4,B90&lt;=90,3,B90&lt;=120,2,TRUE,1)</f>
        <v>5</v>
      </c>
      <c r="F90" cm="1">
        <f t="array" ref="F90">_xlfn.IFS(C90&gt;=8,5,C90&gt;=5,4,C90&gt;=3,3,C90&gt;=2,2,TRUE,1)</f>
        <v>3</v>
      </c>
      <c r="G90" cm="1">
        <f t="array" ref="G90">_xlfn.IFS(D90&gt;=15000,5,D90&gt;=8000,4,D90&gt;=3000,3,D90&gt;=1000,2,TRUE,1)</f>
        <v>4</v>
      </c>
      <c r="H90" t="str">
        <f t="shared" ca="1" si="1"/>
        <v>534</v>
      </c>
      <c r="I90" t="str" cm="1">
        <f t="array" aca="1" ref="I90" ca="1">_xlfn.IFS(
  H90="555","Champions",
  VALUE(LEFT(H90,2))&gt;=54,"Loyal Customers",
  VALUE(LEFT(H90,1))&gt;=4,"Potential Loyalists",
  VALUE(RIGHT(H90,2))&gt;=45,"New Customers",
  VALUE(LEFT(H90,1))&lt;=2,"At Risk",
  VALUE(LEFT(H90,1))&lt;=1,"Can't Lose",
  TRUE,"Others"
)</f>
        <v>Potential Loyalists</v>
      </c>
    </row>
    <row r="91" spans="1:9" x14ac:dyDescent="0.35">
      <c r="A91" t="str">
        <v>CUST0069</v>
      </c>
      <c r="B91" s="3">
        <f ca="1">TODAY()-Sheet1!B91</f>
        <v>16</v>
      </c>
      <c r="C91" s="3">
        <f>COUNTIFS(Sheet1!A91:A1090,A91)</f>
        <v>5</v>
      </c>
      <c r="D91" s="4">
        <v>26188.61</v>
      </c>
      <c r="E91" cm="1">
        <f t="array" aca="1" ref="E91" ca="1">_xlfn.IFS(B91&lt;=30,5,B91&lt;=60,4,B91&lt;=90,3,B91&lt;=120,2,TRUE,1)</f>
        <v>5</v>
      </c>
      <c r="F91" cm="1">
        <f t="array" ref="F91">_xlfn.IFS(C91&gt;=8,5,C91&gt;=5,4,C91&gt;=3,3,C91&gt;=2,2,TRUE,1)</f>
        <v>4</v>
      </c>
      <c r="G91" cm="1">
        <f t="array" ref="G91">_xlfn.IFS(D91&gt;=15000,5,D91&gt;=8000,4,D91&gt;=3000,3,D91&gt;=1000,2,TRUE,1)</f>
        <v>5</v>
      </c>
      <c r="H91" t="str">
        <f t="shared" ca="1" si="1"/>
        <v>545</v>
      </c>
      <c r="I91" t="str" cm="1">
        <f t="array" aca="1" ref="I91" ca="1">_xlfn.IFS(
  H91="555","Champions",
  VALUE(LEFT(H91,2))&gt;=54,"Loyal Customers",
  VALUE(LEFT(H91,1))&gt;=4,"Potential Loyalists",
  VALUE(RIGHT(H91,2))&gt;=45,"New Customers",
  VALUE(LEFT(H91,1))&lt;=2,"At Risk",
  VALUE(LEFT(H91,1))&lt;=1,"Can't Lose",
  TRUE,"Others"
)</f>
        <v>Loyal Customers</v>
      </c>
    </row>
    <row r="92" spans="1:9" x14ac:dyDescent="0.35">
      <c r="A92" t="str">
        <v>CUST0175</v>
      </c>
      <c r="B92" s="3">
        <f ca="1">TODAY()-Sheet1!B92</f>
        <v>35</v>
      </c>
      <c r="C92" s="3">
        <f>COUNTIFS(Sheet1!A92:A1091,A92)</f>
        <v>3</v>
      </c>
      <c r="D92" s="4">
        <v>9250.619999999999</v>
      </c>
      <c r="E92" cm="1">
        <f t="array" aca="1" ref="E92" ca="1">_xlfn.IFS(B92&lt;=30,5,B92&lt;=60,4,B92&lt;=90,3,B92&lt;=120,2,TRUE,1)</f>
        <v>4</v>
      </c>
      <c r="F92" cm="1">
        <f t="array" ref="F92">_xlfn.IFS(C92&gt;=8,5,C92&gt;=5,4,C92&gt;=3,3,C92&gt;=2,2,TRUE,1)</f>
        <v>3</v>
      </c>
      <c r="G92" cm="1">
        <f t="array" ref="G92">_xlfn.IFS(D92&gt;=15000,5,D92&gt;=8000,4,D92&gt;=3000,3,D92&gt;=1000,2,TRUE,1)</f>
        <v>4</v>
      </c>
      <c r="H92" t="str">
        <f t="shared" ca="1" si="1"/>
        <v>434</v>
      </c>
      <c r="I92" t="str" cm="1">
        <f t="array" aca="1" ref="I92" ca="1">_xlfn.IFS(
  H92="555","Champions",
  VALUE(LEFT(H92,2))&gt;=54,"Loyal Customers",
  VALUE(LEFT(H92,1))&gt;=4,"Potential Loyalists",
  VALUE(RIGHT(H92,2))&gt;=45,"New Customers",
  VALUE(LEFT(H92,1))&lt;=2,"At Risk",
  VALUE(LEFT(H92,1))&lt;=1,"Can't Lose",
  TRUE,"Others"
)</f>
        <v>Potential Loyalists</v>
      </c>
    </row>
    <row r="93" spans="1:9" x14ac:dyDescent="0.35">
      <c r="A93" t="str">
        <v>CUST0191</v>
      </c>
      <c r="B93" s="3">
        <f ca="1">TODAY()-Sheet1!B93</f>
        <v>72</v>
      </c>
      <c r="C93" s="3">
        <f>COUNTIFS(Sheet1!A93:A1092,A93)</f>
        <v>9</v>
      </c>
      <c r="D93" s="4">
        <v>17673.09</v>
      </c>
      <c r="E93" cm="1">
        <f t="array" aca="1" ref="E93" ca="1">_xlfn.IFS(B93&lt;=30,5,B93&lt;=60,4,B93&lt;=90,3,B93&lt;=120,2,TRUE,1)</f>
        <v>3</v>
      </c>
      <c r="F93" cm="1">
        <f t="array" ref="F93">_xlfn.IFS(C93&gt;=8,5,C93&gt;=5,4,C93&gt;=3,3,C93&gt;=2,2,TRUE,1)</f>
        <v>5</v>
      </c>
      <c r="G93" cm="1">
        <f t="array" ref="G93">_xlfn.IFS(D93&gt;=15000,5,D93&gt;=8000,4,D93&gt;=3000,3,D93&gt;=1000,2,TRUE,1)</f>
        <v>5</v>
      </c>
      <c r="H93" t="str">
        <f t="shared" ca="1" si="1"/>
        <v>355</v>
      </c>
      <c r="I93" t="str" cm="1">
        <f t="array" aca="1" ref="I93" ca="1">_xlfn.IFS(
  H93="555","Champions",
  VALUE(LEFT(H93,2))&gt;=54,"Loyal Customers",
  VALUE(LEFT(H93,1))&gt;=4,"Potential Loyalists",
  VALUE(RIGHT(H93,2))&gt;=45,"New Customers",
  VALUE(LEFT(H93,1))&lt;=2,"At Risk",
  VALUE(LEFT(H93,1))&lt;=1,"Can't Lose",
  TRUE,"Others"
)</f>
        <v>New Customers</v>
      </c>
    </row>
    <row r="94" spans="1:9" x14ac:dyDescent="0.35">
      <c r="A94" t="str">
        <v>CUST0043</v>
      </c>
      <c r="B94" s="3">
        <f ca="1">TODAY()-Sheet1!B94</f>
        <v>4</v>
      </c>
      <c r="C94" s="3">
        <f>COUNTIFS(Sheet1!A94:A1093,A94)</f>
        <v>8</v>
      </c>
      <c r="D94" s="4">
        <v>5544.41</v>
      </c>
      <c r="E94" cm="1">
        <f t="array" aca="1" ref="E94" ca="1">_xlfn.IFS(B94&lt;=30,5,B94&lt;=60,4,B94&lt;=90,3,B94&lt;=120,2,TRUE,1)</f>
        <v>5</v>
      </c>
      <c r="F94" cm="1">
        <f t="array" ref="F94">_xlfn.IFS(C94&gt;=8,5,C94&gt;=5,4,C94&gt;=3,3,C94&gt;=2,2,TRUE,1)</f>
        <v>5</v>
      </c>
      <c r="G94" cm="1">
        <f t="array" ref="G94">_xlfn.IFS(D94&gt;=15000,5,D94&gt;=8000,4,D94&gt;=3000,3,D94&gt;=1000,2,TRUE,1)</f>
        <v>3</v>
      </c>
      <c r="H94" t="str">
        <f t="shared" ca="1" si="1"/>
        <v>553</v>
      </c>
      <c r="I94" t="str" cm="1">
        <f t="array" aca="1" ref="I94" ca="1">_xlfn.IFS(
  H94="555","Champions",
  VALUE(LEFT(H94,2))&gt;=54,"Loyal Customers",
  VALUE(LEFT(H94,1))&gt;=4,"Potential Loyalists",
  VALUE(RIGHT(H94,2))&gt;=45,"New Customers",
  VALUE(LEFT(H94,1))&lt;=2,"At Risk",
  VALUE(LEFT(H94,1))&lt;=1,"Can't Lose",
  TRUE,"Others"
)</f>
        <v>Loyal Customers</v>
      </c>
    </row>
    <row r="95" spans="1:9" x14ac:dyDescent="0.35">
      <c r="A95" t="str">
        <v>CUST0116</v>
      </c>
      <c r="B95" s="3">
        <f ca="1">TODAY()-Sheet1!B95</f>
        <v>28</v>
      </c>
      <c r="C95" s="3">
        <f>COUNTIFS(Sheet1!A95:A1094,A95)</f>
        <v>8</v>
      </c>
      <c r="D95" s="4">
        <v>9698.58</v>
      </c>
      <c r="E95" cm="1">
        <f t="array" aca="1" ref="E95" ca="1">_xlfn.IFS(B95&lt;=30,5,B95&lt;=60,4,B95&lt;=90,3,B95&lt;=120,2,TRUE,1)</f>
        <v>5</v>
      </c>
      <c r="F95" cm="1">
        <f t="array" ref="F95">_xlfn.IFS(C95&gt;=8,5,C95&gt;=5,4,C95&gt;=3,3,C95&gt;=2,2,TRUE,1)</f>
        <v>5</v>
      </c>
      <c r="G95" cm="1">
        <f t="array" ref="G95">_xlfn.IFS(D95&gt;=15000,5,D95&gt;=8000,4,D95&gt;=3000,3,D95&gt;=1000,2,TRUE,1)</f>
        <v>4</v>
      </c>
      <c r="H95" t="str">
        <f t="shared" ca="1" si="1"/>
        <v>554</v>
      </c>
      <c r="I95" t="str" cm="1">
        <f t="array" aca="1" ref="I95" ca="1">_xlfn.IFS(
  H95="555","Champions",
  VALUE(LEFT(H95,2))&gt;=54,"Loyal Customers",
  VALUE(LEFT(H95,1))&gt;=4,"Potential Loyalists",
  VALUE(RIGHT(H95,2))&gt;=45,"New Customers",
  VALUE(LEFT(H95,1))&lt;=2,"At Risk",
  VALUE(LEFT(H95,1))&lt;=1,"Can't Lose",
  TRUE,"Others"
)</f>
        <v>Loyal Customers</v>
      </c>
    </row>
    <row r="96" spans="1:9" x14ac:dyDescent="0.35">
      <c r="A96" t="str">
        <v>CUST0117</v>
      </c>
      <c r="B96" s="3">
        <f ca="1">TODAY()-Sheet1!B96</f>
        <v>71</v>
      </c>
      <c r="C96" s="3">
        <f>COUNTIFS(Sheet1!A96:A1095,A96)</f>
        <v>5</v>
      </c>
      <c r="D96" s="4">
        <v>8871.14</v>
      </c>
      <c r="E96" cm="1">
        <f t="array" aca="1" ref="E96" ca="1">_xlfn.IFS(B96&lt;=30,5,B96&lt;=60,4,B96&lt;=90,3,B96&lt;=120,2,TRUE,1)</f>
        <v>3</v>
      </c>
      <c r="F96" cm="1">
        <f t="array" ref="F96">_xlfn.IFS(C96&gt;=8,5,C96&gt;=5,4,C96&gt;=3,3,C96&gt;=2,2,TRUE,1)</f>
        <v>4</v>
      </c>
      <c r="G96" cm="1">
        <f t="array" ref="G96">_xlfn.IFS(D96&gt;=15000,5,D96&gt;=8000,4,D96&gt;=3000,3,D96&gt;=1000,2,TRUE,1)</f>
        <v>4</v>
      </c>
      <c r="H96" t="str">
        <f t="shared" ca="1" si="1"/>
        <v>344</v>
      </c>
      <c r="I96" t="str" cm="1">
        <f t="array" aca="1" ref="I96" ca="1">_xlfn.IFS(
  H96="555","Champions",
  VALUE(LEFT(H96,2))&gt;=54,"Loyal Customers",
  VALUE(LEFT(H96,1))&gt;=4,"Potential Loyalists",
  VALUE(RIGHT(H96,2))&gt;=45,"New Customers",
  VALUE(LEFT(H96,1))&lt;=2,"At Risk",
  VALUE(LEFT(H96,1))&lt;=1,"Can't Lose",
  TRUE,"Others"
)</f>
        <v>Others</v>
      </c>
    </row>
    <row r="97" spans="1:9" x14ac:dyDescent="0.35">
      <c r="A97" t="str">
        <v>CUST0044</v>
      </c>
      <c r="B97" s="3">
        <f ca="1">TODAY()-Sheet1!B97</f>
        <v>73</v>
      </c>
      <c r="C97" s="3">
        <f>COUNTIFS(Sheet1!A97:A1096,A97)</f>
        <v>5</v>
      </c>
      <c r="D97" s="4">
        <v>25671.869999999995</v>
      </c>
      <c r="E97" cm="1">
        <f t="array" aca="1" ref="E97" ca="1">_xlfn.IFS(B97&lt;=30,5,B97&lt;=60,4,B97&lt;=90,3,B97&lt;=120,2,TRUE,1)</f>
        <v>3</v>
      </c>
      <c r="F97" cm="1">
        <f t="array" ref="F97">_xlfn.IFS(C97&gt;=8,5,C97&gt;=5,4,C97&gt;=3,3,C97&gt;=2,2,TRUE,1)</f>
        <v>4</v>
      </c>
      <c r="G97" cm="1">
        <f t="array" ref="G97">_xlfn.IFS(D97&gt;=15000,5,D97&gt;=8000,4,D97&gt;=3000,3,D97&gt;=1000,2,TRUE,1)</f>
        <v>5</v>
      </c>
      <c r="H97" t="str">
        <f t="shared" ca="1" si="1"/>
        <v>345</v>
      </c>
      <c r="I97" t="str" cm="1">
        <f t="array" aca="1" ref="I97" ca="1">_xlfn.IFS(
  H97="555","Champions",
  VALUE(LEFT(H97,2))&gt;=54,"Loyal Customers",
  VALUE(LEFT(H97,1))&gt;=4,"Potential Loyalists",
  VALUE(RIGHT(H97,2))&gt;=45,"New Customers",
  VALUE(LEFT(H97,1))&lt;=2,"At Risk",
  VALUE(LEFT(H97,1))&lt;=1,"Can't Lose",
  TRUE,"Others"
)</f>
        <v>New Customers</v>
      </c>
    </row>
    <row r="98" spans="1:9" x14ac:dyDescent="0.35">
      <c r="A98" t="str">
        <v>CUST0083</v>
      </c>
      <c r="B98" s="3">
        <f ca="1">TODAY()-Sheet1!B98</f>
        <v>43</v>
      </c>
      <c r="C98" s="3">
        <f>COUNTIFS(Sheet1!A98:A1097,A98)</f>
        <v>6</v>
      </c>
      <c r="D98" s="4">
        <v>21139.32</v>
      </c>
      <c r="E98" cm="1">
        <f t="array" aca="1" ref="E98" ca="1">_xlfn.IFS(B98&lt;=30,5,B98&lt;=60,4,B98&lt;=90,3,B98&lt;=120,2,TRUE,1)</f>
        <v>4</v>
      </c>
      <c r="F98" cm="1">
        <f t="array" ref="F98">_xlfn.IFS(C98&gt;=8,5,C98&gt;=5,4,C98&gt;=3,3,C98&gt;=2,2,TRUE,1)</f>
        <v>4</v>
      </c>
      <c r="G98" cm="1">
        <f t="array" ref="G98">_xlfn.IFS(D98&gt;=15000,5,D98&gt;=8000,4,D98&gt;=3000,3,D98&gt;=1000,2,TRUE,1)</f>
        <v>5</v>
      </c>
      <c r="H98" t="str">
        <f t="shared" ca="1" si="1"/>
        <v>445</v>
      </c>
      <c r="I98" t="str" cm="1">
        <f t="array" aca="1" ref="I98" ca="1">_xlfn.IFS(
  H98="555","Champions",
  VALUE(LEFT(H98,2))&gt;=54,"Loyal Customers",
  VALUE(LEFT(H98,1))&gt;=4,"Potential Loyalists",
  VALUE(RIGHT(H98,2))&gt;=45,"New Customers",
  VALUE(LEFT(H98,1))&lt;=2,"At Risk",
  VALUE(LEFT(H98,1))&lt;=1,"Can't Lose",
  TRUE,"Others"
)</f>
        <v>Potential Loyalists</v>
      </c>
    </row>
    <row r="99" spans="1:9" x14ac:dyDescent="0.35">
      <c r="A99" t="str">
        <v>CUST0019</v>
      </c>
      <c r="B99" s="3">
        <f ca="1">TODAY()-Sheet1!B99</f>
        <v>11</v>
      </c>
      <c r="C99" s="3">
        <f>COUNTIFS(Sheet1!A99:A1098,A99)</f>
        <v>5</v>
      </c>
      <c r="D99" s="4">
        <v>8195.7999999999993</v>
      </c>
      <c r="E99" cm="1">
        <f t="array" aca="1" ref="E99" ca="1">_xlfn.IFS(B99&lt;=30,5,B99&lt;=60,4,B99&lt;=90,3,B99&lt;=120,2,TRUE,1)</f>
        <v>5</v>
      </c>
      <c r="F99" cm="1">
        <f t="array" ref="F99">_xlfn.IFS(C99&gt;=8,5,C99&gt;=5,4,C99&gt;=3,3,C99&gt;=2,2,TRUE,1)</f>
        <v>4</v>
      </c>
      <c r="G99" cm="1">
        <f t="array" ref="G99">_xlfn.IFS(D99&gt;=15000,5,D99&gt;=8000,4,D99&gt;=3000,3,D99&gt;=1000,2,TRUE,1)</f>
        <v>4</v>
      </c>
      <c r="H99" t="str">
        <f t="shared" ca="1" si="1"/>
        <v>544</v>
      </c>
      <c r="I99" t="str" cm="1">
        <f t="array" aca="1" ref="I99" ca="1">_xlfn.IFS(
  H99="555","Champions",
  VALUE(LEFT(H99,2))&gt;=54,"Loyal Customers",
  VALUE(LEFT(H99,1))&gt;=4,"Potential Loyalists",
  VALUE(RIGHT(H99,2))&gt;=45,"New Customers",
  VALUE(LEFT(H99,1))&lt;=2,"At Risk",
  VALUE(LEFT(H99,1))&lt;=1,"Can't Lose",
  TRUE,"Others"
)</f>
        <v>Loyal Customers</v>
      </c>
    </row>
    <row r="100" spans="1:9" x14ac:dyDescent="0.35">
      <c r="A100" t="str">
        <v>CUST0108</v>
      </c>
      <c r="B100" s="3">
        <f ca="1">TODAY()-Sheet1!B100</f>
        <v>74</v>
      </c>
      <c r="C100" s="3">
        <f>COUNTIFS(Sheet1!A100:A1099,A100)</f>
        <v>2</v>
      </c>
      <c r="D100" s="4">
        <v>4971.5200000000004</v>
      </c>
      <c r="E100" cm="1">
        <f t="array" aca="1" ref="E100" ca="1">_xlfn.IFS(B100&lt;=30,5,B100&lt;=60,4,B100&lt;=90,3,B100&lt;=120,2,TRUE,1)</f>
        <v>3</v>
      </c>
      <c r="F100" cm="1">
        <f t="array" ref="F100">_xlfn.IFS(C100&gt;=8,5,C100&gt;=5,4,C100&gt;=3,3,C100&gt;=2,2,TRUE,1)</f>
        <v>2</v>
      </c>
      <c r="G100" cm="1">
        <f t="array" ref="G100">_xlfn.IFS(D100&gt;=15000,5,D100&gt;=8000,4,D100&gt;=3000,3,D100&gt;=1000,2,TRUE,1)</f>
        <v>3</v>
      </c>
      <c r="H100" t="str">
        <f t="shared" ca="1" si="1"/>
        <v>323</v>
      </c>
      <c r="I100" t="str" cm="1">
        <f t="array" aca="1" ref="I100" ca="1">_xlfn.IFS(
  H100="555","Champions",
  VALUE(LEFT(H100,2))&gt;=54,"Loyal Customers",
  VALUE(LEFT(H100,1))&gt;=4,"Potential Loyalists",
  VALUE(RIGHT(H100,2))&gt;=45,"New Customers",
  VALUE(LEFT(H100,1))&lt;=2,"At Risk",
  VALUE(LEFT(H100,1))&lt;=1,"Can't Lose",
  TRUE,"Others"
)</f>
        <v>Others</v>
      </c>
    </row>
    <row r="101" spans="1:9" x14ac:dyDescent="0.35">
      <c r="A101" t="str">
        <v>CUST0042</v>
      </c>
      <c r="B101" s="3">
        <f ca="1">TODAY()-Sheet1!B101</f>
        <v>53</v>
      </c>
      <c r="C101" s="3">
        <f>COUNTIFS(Sheet1!A101:A1100,A101)</f>
        <v>2</v>
      </c>
      <c r="D101" s="4">
        <v>10297.619999999999</v>
      </c>
      <c r="E101" cm="1">
        <f t="array" aca="1" ref="E101" ca="1">_xlfn.IFS(B101&lt;=30,5,B101&lt;=60,4,B101&lt;=90,3,B101&lt;=120,2,TRUE,1)</f>
        <v>4</v>
      </c>
      <c r="F101" cm="1">
        <f t="array" ref="F101">_xlfn.IFS(C101&gt;=8,5,C101&gt;=5,4,C101&gt;=3,3,C101&gt;=2,2,TRUE,1)</f>
        <v>2</v>
      </c>
      <c r="G101" cm="1">
        <f t="array" ref="G101">_xlfn.IFS(D101&gt;=15000,5,D101&gt;=8000,4,D101&gt;=3000,3,D101&gt;=1000,2,TRUE,1)</f>
        <v>4</v>
      </c>
      <c r="H101" t="str">
        <f t="shared" ca="1" si="1"/>
        <v>424</v>
      </c>
      <c r="I101" t="str" cm="1">
        <f t="array" aca="1" ref="I101" ca="1">_xlfn.IFS(
  H101="555","Champions",
  VALUE(LEFT(H101,2))&gt;=54,"Loyal Customers",
  VALUE(LEFT(H101,1))&gt;=4,"Potential Loyalists",
  VALUE(RIGHT(H101,2))&gt;=45,"New Customers",
  VALUE(LEFT(H101,1))&lt;=2,"At Risk",
  VALUE(LEFT(H101,1))&lt;=1,"Can't Lose",
  TRUE,"Others"
)</f>
        <v>Potential Loyalists</v>
      </c>
    </row>
    <row r="102" spans="1:9" x14ac:dyDescent="0.35">
      <c r="A102" t="str">
        <v>CUST0097</v>
      </c>
      <c r="B102" s="3">
        <f ca="1">TODAY()-Sheet1!B102</f>
        <v>14</v>
      </c>
      <c r="C102" s="3">
        <f>COUNTIFS(Sheet1!A102:A1101,A102)</f>
        <v>9</v>
      </c>
      <c r="D102" s="4">
        <v>15024.830000000002</v>
      </c>
      <c r="E102" cm="1">
        <f t="array" aca="1" ref="E102" ca="1">_xlfn.IFS(B102&lt;=30,5,B102&lt;=60,4,B102&lt;=90,3,B102&lt;=120,2,TRUE,1)</f>
        <v>5</v>
      </c>
      <c r="F102" cm="1">
        <f t="array" ref="F102">_xlfn.IFS(C102&gt;=8,5,C102&gt;=5,4,C102&gt;=3,3,C102&gt;=2,2,TRUE,1)</f>
        <v>5</v>
      </c>
      <c r="G102" cm="1">
        <f t="array" ref="G102">_xlfn.IFS(D102&gt;=15000,5,D102&gt;=8000,4,D102&gt;=3000,3,D102&gt;=1000,2,TRUE,1)</f>
        <v>5</v>
      </c>
      <c r="H102" t="str">
        <f t="shared" ca="1" si="1"/>
        <v>555</v>
      </c>
      <c r="I102" t="str" cm="1">
        <f t="array" aca="1" ref="I102" ca="1">_xlfn.IFS(
  H102="555","Champions",
  VALUE(LEFT(H102,2))&gt;=54,"Loyal Customers",
  VALUE(LEFT(H102,1))&gt;=4,"Potential Loyalists",
  VALUE(RIGHT(H102,2))&gt;=45,"New Customers",
  VALUE(LEFT(H102,1))&lt;=2,"At Risk",
  VALUE(LEFT(H102,1))&lt;=1,"Can't Lose",
  TRUE,"Others"
)</f>
        <v>Champions</v>
      </c>
    </row>
    <row r="103" spans="1:9" x14ac:dyDescent="0.35">
      <c r="A103" t="str">
        <v>CUST0180</v>
      </c>
      <c r="B103" s="3">
        <f ca="1">TODAY()-Sheet1!B103</f>
        <v>30</v>
      </c>
      <c r="C103" s="3">
        <f>COUNTIFS(Sheet1!A103:A1102,A103)</f>
        <v>1</v>
      </c>
      <c r="D103" s="4">
        <v>11057.599999999999</v>
      </c>
      <c r="E103" cm="1">
        <f t="array" aca="1" ref="E103" ca="1">_xlfn.IFS(B103&lt;=30,5,B103&lt;=60,4,B103&lt;=90,3,B103&lt;=120,2,TRUE,1)</f>
        <v>5</v>
      </c>
      <c r="F103" cm="1">
        <f t="array" ref="F103">_xlfn.IFS(C103&gt;=8,5,C103&gt;=5,4,C103&gt;=3,3,C103&gt;=2,2,TRUE,1)</f>
        <v>1</v>
      </c>
      <c r="G103" cm="1">
        <f t="array" ref="G103">_xlfn.IFS(D103&gt;=15000,5,D103&gt;=8000,4,D103&gt;=3000,3,D103&gt;=1000,2,TRUE,1)</f>
        <v>4</v>
      </c>
      <c r="H103" t="str">
        <f t="shared" ca="1" si="1"/>
        <v>514</v>
      </c>
      <c r="I103" t="str" cm="1">
        <f t="array" aca="1" ref="I103" ca="1">_xlfn.IFS(
  H103="555","Champions",
  VALUE(LEFT(H103,2))&gt;=54,"Loyal Customers",
  VALUE(LEFT(H103,1))&gt;=4,"Potential Loyalists",
  VALUE(RIGHT(H103,2))&gt;=45,"New Customers",
  VALUE(LEFT(H103,1))&lt;=2,"At Risk",
  VALUE(LEFT(H103,1))&lt;=1,"Can't Lose",
  TRUE,"Others"
)</f>
        <v>Potential Loyalists</v>
      </c>
    </row>
    <row r="104" spans="1:9" x14ac:dyDescent="0.35">
      <c r="A104" t="str">
        <v>CUST0013</v>
      </c>
      <c r="B104" s="3">
        <f ca="1">TODAY()-Sheet1!B104</f>
        <v>28</v>
      </c>
      <c r="C104" s="3">
        <f>COUNTIFS(Sheet1!A104:A1103,A104)</f>
        <v>5</v>
      </c>
      <c r="D104" s="4">
        <v>7666.58</v>
      </c>
      <c r="E104" cm="1">
        <f t="array" aca="1" ref="E104" ca="1">_xlfn.IFS(B104&lt;=30,5,B104&lt;=60,4,B104&lt;=90,3,B104&lt;=120,2,TRUE,1)</f>
        <v>5</v>
      </c>
      <c r="F104" cm="1">
        <f t="array" ref="F104">_xlfn.IFS(C104&gt;=8,5,C104&gt;=5,4,C104&gt;=3,3,C104&gt;=2,2,TRUE,1)</f>
        <v>4</v>
      </c>
      <c r="G104" cm="1">
        <f t="array" ref="G104">_xlfn.IFS(D104&gt;=15000,5,D104&gt;=8000,4,D104&gt;=3000,3,D104&gt;=1000,2,TRUE,1)</f>
        <v>3</v>
      </c>
      <c r="H104" t="str">
        <f t="shared" ca="1" si="1"/>
        <v>543</v>
      </c>
      <c r="I104" t="str" cm="1">
        <f t="array" aca="1" ref="I104" ca="1">_xlfn.IFS(
  H104="555","Champions",
  VALUE(LEFT(H104,2))&gt;=54,"Loyal Customers",
  VALUE(LEFT(H104,1))&gt;=4,"Potential Loyalists",
  VALUE(RIGHT(H104,2))&gt;=45,"New Customers",
  VALUE(LEFT(H104,1))&lt;=2,"At Risk",
  VALUE(LEFT(H104,1))&lt;=1,"Can't Lose",
  TRUE,"Others"
)</f>
        <v>Loyal Customers</v>
      </c>
    </row>
    <row r="105" spans="1:9" x14ac:dyDescent="0.35">
      <c r="A105" t="str">
        <v>CUST0049</v>
      </c>
      <c r="B105" s="3">
        <f ca="1">TODAY()-Sheet1!B105</f>
        <v>40</v>
      </c>
      <c r="C105" s="3">
        <f>COUNTIFS(Sheet1!A105:A1104,A105)</f>
        <v>6</v>
      </c>
      <c r="D105" s="4">
        <v>24724.479999999996</v>
      </c>
      <c r="E105" cm="1">
        <f t="array" aca="1" ref="E105" ca="1">_xlfn.IFS(B105&lt;=30,5,B105&lt;=60,4,B105&lt;=90,3,B105&lt;=120,2,TRUE,1)</f>
        <v>4</v>
      </c>
      <c r="F105" cm="1">
        <f t="array" ref="F105">_xlfn.IFS(C105&gt;=8,5,C105&gt;=5,4,C105&gt;=3,3,C105&gt;=2,2,TRUE,1)</f>
        <v>4</v>
      </c>
      <c r="G105" cm="1">
        <f t="array" ref="G105">_xlfn.IFS(D105&gt;=15000,5,D105&gt;=8000,4,D105&gt;=3000,3,D105&gt;=1000,2,TRUE,1)</f>
        <v>5</v>
      </c>
      <c r="H105" t="str">
        <f t="shared" ca="1" si="1"/>
        <v>445</v>
      </c>
      <c r="I105" t="str" cm="1">
        <f t="array" aca="1" ref="I105" ca="1">_xlfn.IFS(
  H105="555","Champions",
  VALUE(LEFT(H105,2))&gt;=54,"Loyal Customers",
  VALUE(LEFT(H105,1))&gt;=4,"Potential Loyalists",
  VALUE(RIGHT(H105,2))&gt;=45,"New Customers",
  VALUE(LEFT(H105,1))&lt;=2,"At Risk",
  VALUE(LEFT(H105,1))&lt;=1,"Can't Lose",
  TRUE,"Others"
)</f>
        <v>Potential Loyalists</v>
      </c>
    </row>
    <row r="106" spans="1:9" x14ac:dyDescent="0.35">
      <c r="A106" t="str">
        <v>CUST0153</v>
      </c>
      <c r="B106" s="3">
        <f ca="1">TODAY()-Sheet1!B106</f>
        <v>63</v>
      </c>
      <c r="C106" s="3">
        <f>COUNTIFS(Sheet1!A106:A1105,A106)</f>
        <v>9</v>
      </c>
      <c r="D106" s="4">
        <v>8553.98</v>
      </c>
      <c r="E106" cm="1">
        <f t="array" aca="1" ref="E106" ca="1">_xlfn.IFS(B106&lt;=30,5,B106&lt;=60,4,B106&lt;=90,3,B106&lt;=120,2,TRUE,1)</f>
        <v>3</v>
      </c>
      <c r="F106" cm="1">
        <f t="array" ref="F106">_xlfn.IFS(C106&gt;=8,5,C106&gt;=5,4,C106&gt;=3,3,C106&gt;=2,2,TRUE,1)</f>
        <v>5</v>
      </c>
      <c r="G106" cm="1">
        <f t="array" ref="G106">_xlfn.IFS(D106&gt;=15000,5,D106&gt;=8000,4,D106&gt;=3000,3,D106&gt;=1000,2,TRUE,1)</f>
        <v>4</v>
      </c>
      <c r="H106" t="str">
        <f t="shared" ca="1" si="1"/>
        <v>354</v>
      </c>
      <c r="I106" t="str" cm="1">
        <f t="array" aca="1" ref="I106" ca="1">_xlfn.IFS(
  H106="555","Champions",
  VALUE(LEFT(H106,2))&gt;=54,"Loyal Customers",
  VALUE(LEFT(H106,1))&gt;=4,"Potential Loyalists",
  VALUE(RIGHT(H106,2))&gt;=45,"New Customers",
  VALUE(LEFT(H106,1))&lt;=2,"At Risk",
  VALUE(LEFT(H106,1))&lt;=1,"Can't Lose",
  TRUE,"Others"
)</f>
        <v>New Customers</v>
      </c>
    </row>
    <row r="107" spans="1:9" x14ac:dyDescent="0.35">
      <c r="A107" t="str">
        <v>CUST0179</v>
      </c>
      <c r="B107" s="3">
        <f ca="1">TODAY()-Sheet1!B107</f>
        <v>52</v>
      </c>
      <c r="C107" s="3">
        <f>COUNTIFS(Sheet1!A107:A1106,A107)</f>
        <v>4</v>
      </c>
      <c r="D107" s="4">
        <v>12321.09</v>
      </c>
      <c r="E107" cm="1">
        <f t="array" aca="1" ref="E107" ca="1">_xlfn.IFS(B107&lt;=30,5,B107&lt;=60,4,B107&lt;=90,3,B107&lt;=120,2,TRUE,1)</f>
        <v>4</v>
      </c>
      <c r="F107" cm="1">
        <f t="array" ref="F107">_xlfn.IFS(C107&gt;=8,5,C107&gt;=5,4,C107&gt;=3,3,C107&gt;=2,2,TRUE,1)</f>
        <v>3</v>
      </c>
      <c r="G107" cm="1">
        <f t="array" ref="G107">_xlfn.IFS(D107&gt;=15000,5,D107&gt;=8000,4,D107&gt;=3000,3,D107&gt;=1000,2,TRUE,1)</f>
        <v>4</v>
      </c>
      <c r="H107" t="str">
        <f t="shared" ca="1" si="1"/>
        <v>434</v>
      </c>
      <c r="I107" t="str" cm="1">
        <f t="array" aca="1" ref="I107" ca="1">_xlfn.IFS(
  H107="555","Champions",
  VALUE(LEFT(H107,2))&gt;=54,"Loyal Customers",
  VALUE(LEFT(H107,1))&gt;=4,"Potential Loyalists",
  VALUE(RIGHT(H107,2))&gt;=45,"New Customers",
  VALUE(LEFT(H107,1))&lt;=2,"At Risk",
  VALUE(LEFT(H107,1))&lt;=1,"Can't Lose",
  TRUE,"Others"
)</f>
        <v>Potential Loyalists</v>
      </c>
    </row>
    <row r="108" spans="1:9" x14ac:dyDescent="0.35">
      <c r="A108" t="str">
        <v>CUST0051</v>
      </c>
      <c r="B108" s="3">
        <f ca="1">TODAY()-Sheet1!B108</f>
        <v>33</v>
      </c>
      <c r="C108" s="3">
        <f>COUNTIFS(Sheet1!A108:A1107,A108)</f>
        <v>7</v>
      </c>
      <c r="D108" s="4">
        <v>6410.9</v>
      </c>
      <c r="E108" cm="1">
        <f t="array" aca="1" ref="E108" ca="1">_xlfn.IFS(B108&lt;=30,5,B108&lt;=60,4,B108&lt;=90,3,B108&lt;=120,2,TRUE,1)</f>
        <v>4</v>
      </c>
      <c r="F108" cm="1">
        <f t="array" ref="F108">_xlfn.IFS(C108&gt;=8,5,C108&gt;=5,4,C108&gt;=3,3,C108&gt;=2,2,TRUE,1)</f>
        <v>4</v>
      </c>
      <c r="G108" cm="1">
        <f t="array" ref="G108">_xlfn.IFS(D108&gt;=15000,5,D108&gt;=8000,4,D108&gt;=3000,3,D108&gt;=1000,2,TRUE,1)</f>
        <v>3</v>
      </c>
      <c r="H108" t="str">
        <f t="shared" ca="1" si="1"/>
        <v>443</v>
      </c>
      <c r="I108" t="str" cm="1">
        <f t="array" aca="1" ref="I108" ca="1">_xlfn.IFS(
  H108="555","Champions",
  VALUE(LEFT(H108,2))&gt;=54,"Loyal Customers",
  VALUE(LEFT(H108,1))&gt;=4,"Potential Loyalists",
  VALUE(RIGHT(H108,2))&gt;=45,"New Customers",
  VALUE(LEFT(H108,1))&lt;=2,"At Risk",
  VALUE(LEFT(H108,1))&lt;=1,"Can't Lose",
  TRUE,"Others"
)</f>
        <v>Potential Loyalists</v>
      </c>
    </row>
    <row r="109" spans="1:9" x14ac:dyDescent="0.35">
      <c r="A109" t="str">
        <v>CUST0144</v>
      </c>
      <c r="B109" s="3">
        <f ca="1">TODAY()-Sheet1!B109</f>
        <v>19</v>
      </c>
      <c r="C109" s="3">
        <f>COUNTIFS(Sheet1!A109:A1108,A109)</f>
        <v>5</v>
      </c>
      <c r="D109" s="4">
        <v>6701.7199999999993</v>
      </c>
      <c r="E109" cm="1">
        <f t="array" aca="1" ref="E109" ca="1">_xlfn.IFS(B109&lt;=30,5,B109&lt;=60,4,B109&lt;=90,3,B109&lt;=120,2,TRUE,1)</f>
        <v>5</v>
      </c>
      <c r="F109" cm="1">
        <f t="array" ref="F109">_xlfn.IFS(C109&gt;=8,5,C109&gt;=5,4,C109&gt;=3,3,C109&gt;=2,2,TRUE,1)</f>
        <v>4</v>
      </c>
      <c r="G109" cm="1">
        <f t="array" ref="G109">_xlfn.IFS(D109&gt;=15000,5,D109&gt;=8000,4,D109&gt;=3000,3,D109&gt;=1000,2,TRUE,1)</f>
        <v>3</v>
      </c>
      <c r="H109" t="str">
        <f t="shared" ca="1" si="1"/>
        <v>543</v>
      </c>
      <c r="I109" t="str" cm="1">
        <f t="array" aca="1" ref="I109" ca="1">_xlfn.IFS(
  H109="555","Champions",
  VALUE(LEFT(H109,2))&gt;=54,"Loyal Customers",
  VALUE(LEFT(H109,1))&gt;=4,"Potential Loyalists",
  VALUE(RIGHT(H109,2))&gt;=45,"New Customers",
  VALUE(LEFT(H109,1))&lt;=2,"At Risk",
  VALUE(LEFT(H109,1))&lt;=1,"Can't Lose",
  TRUE,"Others"
)</f>
        <v>Loyal Customers</v>
      </c>
    </row>
    <row r="110" spans="1:9" x14ac:dyDescent="0.35">
      <c r="A110" t="str">
        <v>CUST0141</v>
      </c>
      <c r="B110" s="3">
        <f ca="1">TODAY()-Sheet1!B110</f>
        <v>45</v>
      </c>
      <c r="C110" s="3">
        <f>COUNTIFS(Sheet1!A110:A1109,A110)</f>
        <v>9</v>
      </c>
      <c r="D110" s="4">
        <v>3306.54</v>
      </c>
      <c r="E110" cm="1">
        <f t="array" aca="1" ref="E110" ca="1">_xlfn.IFS(B110&lt;=30,5,B110&lt;=60,4,B110&lt;=90,3,B110&lt;=120,2,TRUE,1)</f>
        <v>4</v>
      </c>
      <c r="F110" cm="1">
        <f t="array" ref="F110">_xlfn.IFS(C110&gt;=8,5,C110&gt;=5,4,C110&gt;=3,3,C110&gt;=2,2,TRUE,1)</f>
        <v>5</v>
      </c>
      <c r="G110" cm="1">
        <f t="array" ref="G110">_xlfn.IFS(D110&gt;=15000,5,D110&gt;=8000,4,D110&gt;=3000,3,D110&gt;=1000,2,TRUE,1)</f>
        <v>3</v>
      </c>
      <c r="H110" t="str">
        <f t="shared" ca="1" si="1"/>
        <v>453</v>
      </c>
      <c r="I110" t="str" cm="1">
        <f t="array" aca="1" ref="I110" ca="1">_xlfn.IFS(
  H110="555","Champions",
  VALUE(LEFT(H110,2))&gt;=54,"Loyal Customers",
  VALUE(LEFT(H110,1))&gt;=4,"Potential Loyalists",
  VALUE(RIGHT(H110,2))&gt;=45,"New Customers",
  VALUE(LEFT(H110,1))&lt;=2,"At Risk",
  VALUE(LEFT(H110,1))&lt;=1,"Can't Lose",
  TRUE,"Others"
)</f>
        <v>Potential Loyalists</v>
      </c>
    </row>
    <row r="111" spans="1:9" x14ac:dyDescent="0.35">
      <c r="A111" t="str">
        <v>CUST0075</v>
      </c>
      <c r="B111" s="3">
        <f ca="1">TODAY()-Sheet1!B111</f>
        <v>18</v>
      </c>
      <c r="C111" s="3">
        <f>COUNTIFS(Sheet1!A111:A1110,A111)</f>
        <v>3</v>
      </c>
      <c r="D111" s="4">
        <v>15915.029999999999</v>
      </c>
      <c r="E111" cm="1">
        <f t="array" aca="1" ref="E111" ca="1">_xlfn.IFS(B111&lt;=30,5,B111&lt;=60,4,B111&lt;=90,3,B111&lt;=120,2,TRUE,1)</f>
        <v>5</v>
      </c>
      <c r="F111" cm="1">
        <f t="array" ref="F111">_xlfn.IFS(C111&gt;=8,5,C111&gt;=5,4,C111&gt;=3,3,C111&gt;=2,2,TRUE,1)</f>
        <v>3</v>
      </c>
      <c r="G111" cm="1">
        <f t="array" ref="G111">_xlfn.IFS(D111&gt;=15000,5,D111&gt;=8000,4,D111&gt;=3000,3,D111&gt;=1000,2,TRUE,1)</f>
        <v>5</v>
      </c>
      <c r="H111" t="str">
        <f t="shared" ca="1" si="1"/>
        <v>535</v>
      </c>
      <c r="I111" t="str" cm="1">
        <f t="array" aca="1" ref="I111" ca="1">_xlfn.IFS(
  H111="555","Champions",
  VALUE(LEFT(H111,2))&gt;=54,"Loyal Customers",
  VALUE(LEFT(H111,1))&gt;=4,"Potential Loyalists",
  VALUE(RIGHT(H111,2))&gt;=45,"New Customers",
  VALUE(LEFT(H111,1))&lt;=2,"At Risk",
  VALUE(LEFT(H111,1))&lt;=1,"Can't Lose",
  TRUE,"Others"
)</f>
        <v>Potential Loyalists</v>
      </c>
    </row>
    <row r="112" spans="1:9" x14ac:dyDescent="0.35">
      <c r="A112" t="str">
        <v>CUST0073</v>
      </c>
      <c r="B112" s="3">
        <f ca="1">TODAY()-Sheet1!B112</f>
        <v>82</v>
      </c>
      <c r="C112" s="3">
        <f>COUNTIFS(Sheet1!A112:A1111,A112)</f>
        <v>3</v>
      </c>
      <c r="D112" s="4">
        <v>15977.87</v>
      </c>
      <c r="E112" cm="1">
        <f t="array" aca="1" ref="E112" ca="1">_xlfn.IFS(B112&lt;=30,5,B112&lt;=60,4,B112&lt;=90,3,B112&lt;=120,2,TRUE,1)</f>
        <v>3</v>
      </c>
      <c r="F112" cm="1">
        <f t="array" ref="F112">_xlfn.IFS(C112&gt;=8,5,C112&gt;=5,4,C112&gt;=3,3,C112&gt;=2,2,TRUE,1)</f>
        <v>3</v>
      </c>
      <c r="G112" cm="1">
        <f t="array" ref="G112">_xlfn.IFS(D112&gt;=15000,5,D112&gt;=8000,4,D112&gt;=3000,3,D112&gt;=1000,2,TRUE,1)</f>
        <v>5</v>
      </c>
      <c r="H112" t="str">
        <f t="shared" ca="1" si="1"/>
        <v>335</v>
      </c>
      <c r="I112" t="str" cm="1">
        <f t="array" aca="1" ref="I112" ca="1">_xlfn.IFS(
  H112="555","Champions",
  VALUE(LEFT(H112,2))&gt;=54,"Loyal Customers",
  VALUE(LEFT(H112,1))&gt;=4,"Potential Loyalists",
  VALUE(RIGHT(H112,2))&gt;=45,"New Customers",
  VALUE(LEFT(H112,1))&lt;=2,"At Risk",
  VALUE(LEFT(H112,1))&lt;=1,"Can't Lose",
  TRUE,"Others"
)</f>
        <v>Others</v>
      </c>
    </row>
    <row r="113" spans="1:9" x14ac:dyDescent="0.35">
      <c r="A113" t="str">
        <v>CUST0199</v>
      </c>
      <c r="B113" s="3">
        <f ca="1">TODAY()-Sheet1!B113</f>
        <v>65</v>
      </c>
      <c r="C113" s="3">
        <f>COUNTIFS(Sheet1!A113:A1112,A113)</f>
        <v>10</v>
      </c>
      <c r="D113" s="4">
        <v>11768.47</v>
      </c>
      <c r="E113" cm="1">
        <f t="array" aca="1" ref="E113" ca="1">_xlfn.IFS(B113&lt;=30,5,B113&lt;=60,4,B113&lt;=90,3,B113&lt;=120,2,TRUE,1)</f>
        <v>3</v>
      </c>
      <c r="F113" cm="1">
        <f t="array" ref="F113">_xlfn.IFS(C113&gt;=8,5,C113&gt;=5,4,C113&gt;=3,3,C113&gt;=2,2,TRUE,1)</f>
        <v>5</v>
      </c>
      <c r="G113" cm="1">
        <f t="array" ref="G113">_xlfn.IFS(D113&gt;=15000,5,D113&gt;=8000,4,D113&gt;=3000,3,D113&gt;=1000,2,TRUE,1)</f>
        <v>4</v>
      </c>
      <c r="H113" t="str">
        <f t="shared" ca="1" si="1"/>
        <v>354</v>
      </c>
      <c r="I113" t="str" cm="1">
        <f t="array" aca="1" ref="I113" ca="1">_xlfn.IFS(
  H113="555","Champions",
  VALUE(LEFT(H113,2))&gt;=54,"Loyal Customers",
  VALUE(LEFT(H113,1))&gt;=4,"Potential Loyalists",
  VALUE(RIGHT(H113,2))&gt;=45,"New Customers",
  VALUE(LEFT(H113,1))&lt;=2,"At Risk",
  VALUE(LEFT(H113,1))&lt;=1,"Can't Lose",
  TRUE,"Others"
)</f>
        <v>New Customers</v>
      </c>
    </row>
    <row r="114" spans="1:9" x14ac:dyDescent="0.35">
      <c r="A114" t="str">
        <v>CUST0190</v>
      </c>
      <c r="B114" s="3">
        <f ca="1">TODAY()-Sheet1!B114</f>
        <v>29</v>
      </c>
      <c r="C114" s="3">
        <f>COUNTIFS(Sheet1!A114:A1113,A114)</f>
        <v>5</v>
      </c>
      <c r="D114" s="4">
        <v>1705.98</v>
      </c>
      <c r="E114" cm="1">
        <f t="array" aca="1" ref="E114" ca="1">_xlfn.IFS(B114&lt;=30,5,B114&lt;=60,4,B114&lt;=90,3,B114&lt;=120,2,TRUE,1)</f>
        <v>5</v>
      </c>
      <c r="F114" cm="1">
        <f t="array" ref="F114">_xlfn.IFS(C114&gt;=8,5,C114&gt;=5,4,C114&gt;=3,3,C114&gt;=2,2,TRUE,1)</f>
        <v>4</v>
      </c>
      <c r="G114" cm="1">
        <f t="array" ref="G114">_xlfn.IFS(D114&gt;=15000,5,D114&gt;=8000,4,D114&gt;=3000,3,D114&gt;=1000,2,TRUE,1)</f>
        <v>2</v>
      </c>
      <c r="H114" t="str">
        <f t="shared" ca="1" si="1"/>
        <v>542</v>
      </c>
      <c r="I114" t="str" cm="1">
        <f t="array" aca="1" ref="I114" ca="1">_xlfn.IFS(
  H114="555","Champions",
  VALUE(LEFT(H114,2))&gt;=54,"Loyal Customers",
  VALUE(LEFT(H114,1))&gt;=4,"Potential Loyalists",
  VALUE(RIGHT(H114,2))&gt;=45,"New Customers",
  VALUE(LEFT(H114,1))&lt;=2,"At Risk",
  VALUE(LEFT(H114,1))&lt;=1,"Can't Lose",
  TRUE,"Others"
)</f>
        <v>Loyal Customers</v>
      </c>
    </row>
    <row r="115" spans="1:9" x14ac:dyDescent="0.35">
      <c r="A115" t="str">
        <v>CUST0085</v>
      </c>
      <c r="B115" s="3">
        <f ca="1">TODAY()-Sheet1!B115</f>
        <v>30</v>
      </c>
      <c r="C115" s="3">
        <f>COUNTIFS(Sheet1!A115:A1114,A115)</f>
        <v>3</v>
      </c>
      <c r="D115" s="4">
        <v>7869.22</v>
      </c>
      <c r="E115" cm="1">
        <f t="array" aca="1" ref="E115" ca="1">_xlfn.IFS(B115&lt;=30,5,B115&lt;=60,4,B115&lt;=90,3,B115&lt;=120,2,TRUE,1)</f>
        <v>5</v>
      </c>
      <c r="F115" cm="1">
        <f t="array" ref="F115">_xlfn.IFS(C115&gt;=8,5,C115&gt;=5,4,C115&gt;=3,3,C115&gt;=2,2,TRUE,1)</f>
        <v>3</v>
      </c>
      <c r="G115" cm="1">
        <f t="array" ref="G115">_xlfn.IFS(D115&gt;=15000,5,D115&gt;=8000,4,D115&gt;=3000,3,D115&gt;=1000,2,TRUE,1)</f>
        <v>3</v>
      </c>
      <c r="H115" t="str">
        <f t="shared" ca="1" si="1"/>
        <v>533</v>
      </c>
      <c r="I115" t="str" cm="1">
        <f t="array" aca="1" ref="I115" ca="1">_xlfn.IFS(
  H115="555","Champions",
  VALUE(LEFT(H115,2))&gt;=54,"Loyal Customers",
  VALUE(LEFT(H115,1))&gt;=4,"Potential Loyalists",
  VALUE(RIGHT(H115,2))&gt;=45,"New Customers",
  VALUE(LEFT(H115,1))&lt;=2,"At Risk",
  VALUE(LEFT(H115,1))&lt;=1,"Can't Lose",
  TRUE,"Others"
)</f>
        <v>Potential Loyalists</v>
      </c>
    </row>
    <row r="116" spans="1:9" x14ac:dyDescent="0.35">
      <c r="A116" t="str">
        <v>CUST0088</v>
      </c>
      <c r="B116" s="3">
        <f ca="1">TODAY()-Sheet1!B116</f>
        <v>57</v>
      </c>
      <c r="C116" s="3">
        <f>COUNTIFS(Sheet1!A116:A1115,A116)</f>
        <v>4</v>
      </c>
      <c r="D116" s="4">
        <v>20783.980000000003</v>
      </c>
      <c r="E116" cm="1">
        <f t="array" aca="1" ref="E116" ca="1">_xlfn.IFS(B116&lt;=30,5,B116&lt;=60,4,B116&lt;=90,3,B116&lt;=120,2,TRUE,1)</f>
        <v>4</v>
      </c>
      <c r="F116" cm="1">
        <f t="array" ref="F116">_xlfn.IFS(C116&gt;=8,5,C116&gt;=5,4,C116&gt;=3,3,C116&gt;=2,2,TRUE,1)</f>
        <v>3</v>
      </c>
      <c r="G116" cm="1">
        <f t="array" ref="G116">_xlfn.IFS(D116&gt;=15000,5,D116&gt;=8000,4,D116&gt;=3000,3,D116&gt;=1000,2,TRUE,1)</f>
        <v>5</v>
      </c>
      <c r="H116" t="str">
        <f t="shared" ca="1" si="1"/>
        <v>435</v>
      </c>
      <c r="I116" t="str" cm="1">
        <f t="array" aca="1" ref="I116" ca="1">_xlfn.IFS(
  H116="555","Champions",
  VALUE(LEFT(H116,2))&gt;=54,"Loyal Customers",
  VALUE(LEFT(H116,1))&gt;=4,"Potential Loyalists",
  VALUE(RIGHT(H116,2))&gt;=45,"New Customers",
  VALUE(LEFT(H116,1))&lt;=2,"At Risk",
  VALUE(LEFT(H116,1))&lt;=1,"Can't Lose",
  TRUE,"Others"
)</f>
        <v>Potential Loyalists</v>
      </c>
    </row>
    <row r="117" spans="1:9" x14ac:dyDescent="0.35">
      <c r="A117" t="str">
        <v>CUST0020</v>
      </c>
      <c r="B117" s="3">
        <f ca="1">TODAY()-Sheet1!B117</f>
        <v>37</v>
      </c>
      <c r="C117" s="3">
        <f>COUNTIFS(Sheet1!A117:A1116,A117)</f>
        <v>5</v>
      </c>
      <c r="D117" s="4">
        <v>17921.13</v>
      </c>
      <c r="E117" cm="1">
        <f t="array" aca="1" ref="E117" ca="1">_xlfn.IFS(B117&lt;=30,5,B117&lt;=60,4,B117&lt;=90,3,B117&lt;=120,2,TRUE,1)</f>
        <v>4</v>
      </c>
      <c r="F117" cm="1">
        <f t="array" ref="F117">_xlfn.IFS(C117&gt;=8,5,C117&gt;=5,4,C117&gt;=3,3,C117&gt;=2,2,TRUE,1)</f>
        <v>4</v>
      </c>
      <c r="G117" cm="1">
        <f t="array" ref="G117">_xlfn.IFS(D117&gt;=15000,5,D117&gt;=8000,4,D117&gt;=3000,3,D117&gt;=1000,2,TRUE,1)</f>
        <v>5</v>
      </c>
      <c r="H117" t="str">
        <f t="shared" ca="1" si="1"/>
        <v>445</v>
      </c>
      <c r="I117" t="str" cm="1">
        <f t="array" aca="1" ref="I117" ca="1">_xlfn.IFS(
  H117="555","Champions",
  VALUE(LEFT(H117,2))&gt;=54,"Loyal Customers",
  VALUE(LEFT(H117,1))&gt;=4,"Potential Loyalists",
  VALUE(RIGHT(H117,2))&gt;=45,"New Customers",
  VALUE(LEFT(H117,1))&lt;=2,"At Risk",
  VALUE(LEFT(H117,1))&lt;=1,"Can't Lose",
  TRUE,"Others"
)</f>
        <v>Potential Loyalists</v>
      </c>
    </row>
    <row r="118" spans="1:9" x14ac:dyDescent="0.35">
      <c r="A118" t="str">
        <v>CUST0033</v>
      </c>
      <c r="B118" s="3">
        <f ca="1">TODAY()-Sheet1!B118</f>
        <v>2</v>
      </c>
      <c r="C118" s="3">
        <f>COUNTIFS(Sheet1!A118:A1117,A118)</f>
        <v>1</v>
      </c>
      <c r="D118" s="4">
        <v>3100.54</v>
      </c>
      <c r="E118" cm="1">
        <f t="array" aca="1" ref="E118" ca="1">_xlfn.IFS(B118&lt;=30,5,B118&lt;=60,4,B118&lt;=90,3,B118&lt;=120,2,TRUE,1)</f>
        <v>5</v>
      </c>
      <c r="F118" cm="1">
        <f t="array" ref="F118">_xlfn.IFS(C118&gt;=8,5,C118&gt;=5,4,C118&gt;=3,3,C118&gt;=2,2,TRUE,1)</f>
        <v>1</v>
      </c>
      <c r="G118" cm="1">
        <f t="array" ref="G118">_xlfn.IFS(D118&gt;=15000,5,D118&gt;=8000,4,D118&gt;=3000,3,D118&gt;=1000,2,TRUE,1)</f>
        <v>3</v>
      </c>
      <c r="H118" t="str">
        <f t="shared" ca="1" si="1"/>
        <v>513</v>
      </c>
      <c r="I118" t="str" cm="1">
        <f t="array" aca="1" ref="I118" ca="1">_xlfn.IFS(
  H118="555","Champions",
  VALUE(LEFT(H118,2))&gt;=54,"Loyal Customers",
  VALUE(LEFT(H118,1))&gt;=4,"Potential Loyalists",
  VALUE(RIGHT(H118,2))&gt;=45,"New Customers",
  VALUE(LEFT(H118,1))&lt;=2,"At Risk",
  VALUE(LEFT(H118,1))&lt;=1,"Can't Lose",
  TRUE,"Others"
)</f>
        <v>Potential Loyalists</v>
      </c>
    </row>
    <row r="119" spans="1:9" x14ac:dyDescent="0.35">
      <c r="A119" t="str">
        <v>CUST0170</v>
      </c>
      <c r="B119" s="3">
        <f ca="1">TODAY()-Sheet1!B119</f>
        <v>42</v>
      </c>
      <c r="C119" s="3">
        <f>COUNTIFS(Sheet1!A119:A1118,A119)</f>
        <v>6</v>
      </c>
      <c r="D119" s="4">
        <v>18451.589999999997</v>
      </c>
      <c r="E119" cm="1">
        <f t="array" aca="1" ref="E119" ca="1">_xlfn.IFS(B119&lt;=30,5,B119&lt;=60,4,B119&lt;=90,3,B119&lt;=120,2,TRUE,1)</f>
        <v>4</v>
      </c>
      <c r="F119" cm="1">
        <f t="array" ref="F119">_xlfn.IFS(C119&gt;=8,5,C119&gt;=5,4,C119&gt;=3,3,C119&gt;=2,2,TRUE,1)</f>
        <v>4</v>
      </c>
      <c r="G119" cm="1">
        <f t="array" ref="G119">_xlfn.IFS(D119&gt;=15000,5,D119&gt;=8000,4,D119&gt;=3000,3,D119&gt;=1000,2,TRUE,1)</f>
        <v>5</v>
      </c>
      <c r="H119" t="str">
        <f t="shared" ca="1" si="1"/>
        <v>445</v>
      </c>
      <c r="I119" t="str" cm="1">
        <f t="array" aca="1" ref="I119" ca="1">_xlfn.IFS(
  H119="555","Champions",
  VALUE(LEFT(H119,2))&gt;=54,"Loyal Customers",
  VALUE(LEFT(H119,1))&gt;=4,"Potential Loyalists",
  VALUE(RIGHT(H119,2))&gt;=45,"New Customers",
  VALUE(LEFT(H119,1))&lt;=2,"At Risk",
  VALUE(LEFT(H119,1))&lt;=1,"Can't Lose",
  TRUE,"Others"
)</f>
        <v>Potential Loyalists</v>
      </c>
    </row>
    <row r="120" spans="1:9" x14ac:dyDescent="0.35">
      <c r="A120" t="str">
        <v>CUST0184</v>
      </c>
      <c r="B120" s="3">
        <f ca="1">TODAY()-Sheet1!B120</f>
        <v>20</v>
      </c>
      <c r="C120" s="3">
        <f>COUNTIFS(Sheet1!A120:A1119,A120)</f>
        <v>4</v>
      </c>
      <c r="D120" s="4">
        <v>16018.710000000003</v>
      </c>
      <c r="E120" cm="1">
        <f t="array" aca="1" ref="E120" ca="1">_xlfn.IFS(B120&lt;=30,5,B120&lt;=60,4,B120&lt;=90,3,B120&lt;=120,2,TRUE,1)</f>
        <v>5</v>
      </c>
      <c r="F120" cm="1">
        <f t="array" ref="F120">_xlfn.IFS(C120&gt;=8,5,C120&gt;=5,4,C120&gt;=3,3,C120&gt;=2,2,TRUE,1)</f>
        <v>3</v>
      </c>
      <c r="G120" cm="1">
        <f t="array" ref="G120">_xlfn.IFS(D120&gt;=15000,5,D120&gt;=8000,4,D120&gt;=3000,3,D120&gt;=1000,2,TRUE,1)</f>
        <v>5</v>
      </c>
      <c r="H120" t="str">
        <f t="shared" ca="1" si="1"/>
        <v>535</v>
      </c>
      <c r="I120" t="str" cm="1">
        <f t="array" aca="1" ref="I120" ca="1">_xlfn.IFS(
  H120="555","Champions",
  VALUE(LEFT(H120,2))&gt;=54,"Loyal Customers",
  VALUE(LEFT(H120,1))&gt;=4,"Potential Loyalists",
  VALUE(RIGHT(H120,2))&gt;=45,"New Customers",
  VALUE(LEFT(H120,1))&lt;=2,"At Risk",
  VALUE(LEFT(H120,1))&lt;=1,"Can't Lose",
  TRUE,"Others"
)</f>
        <v>Potential Loyalists</v>
      </c>
    </row>
    <row r="121" spans="1:9" x14ac:dyDescent="0.35">
      <c r="A121" t="str">
        <v>CUST0121</v>
      </c>
      <c r="B121" s="3">
        <f ca="1">TODAY()-Sheet1!B121</f>
        <v>43</v>
      </c>
      <c r="C121" s="3">
        <f>COUNTIFS(Sheet1!A121:A1120,A121)</f>
        <v>3</v>
      </c>
      <c r="D121" s="4">
        <v>8916.159999999998</v>
      </c>
      <c r="E121" cm="1">
        <f t="array" aca="1" ref="E121" ca="1">_xlfn.IFS(B121&lt;=30,5,B121&lt;=60,4,B121&lt;=90,3,B121&lt;=120,2,TRUE,1)</f>
        <v>4</v>
      </c>
      <c r="F121" cm="1">
        <f t="array" ref="F121">_xlfn.IFS(C121&gt;=8,5,C121&gt;=5,4,C121&gt;=3,3,C121&gt;=2,2,TRUE,1)</f>
        <v>3</v>
      </c>
      <c r="G121" cm="1">
        <f t="array" ref="G121">_xlfn.IFS(D121&gt;=15000,5,D121&gt;=8000,4,D121&gt;=3000,3,D121&gt;=1000,2,TRUE,1)</f>
        <v>4</v>
      </c>
      <c r="H121" t="str">
        <f t="shared" ca="1" si="1"/>
        <v>434</v>
      </c>
      <c r="I121" t="str" cm="1">
        <f t="array" aca="1" ref="I121" ca="1">_xlfn.IFS(
  H121="555","Champions",
  VALUE(LEFT(H121,2))&gt;=54,"Loyal Customers",
  VALUE(LEFT(H121,1))&gt;=4,"Potential Loyalists",
  VALUE(RIGHT(H121,2))&gt;=45,"New Customers",
  VALUE(LEFT(H121,1))&lt;=2,"At Risk",
  VALUE(LEFT(H121,1))&lt;=1,"Can't Lose",
  TRUE,"Others"
)</f>
        <v>Potential Loyalists</v>
      </c>
    </row>
    <row r="122" spans="1:9" x14ac:dyDescent="0.35">
      <c r="A122" t="str">
        <v>CUST0161</v>
      </c>
      <c r="B122" s="3">
        <f ca="1">TODAY()-Sheet1!B122</f>
        <v>26</v>
      </c>
      <c r="C122" s="3">
        <f>COUNTIFS(Sheet1!A122:A1121,A122)</f>
        <v>5</v>
      </c>
      <c r="D122" s="4">
        <v>9999.56</v>
      </c>
      <c r="E122" cm="1">
        <f t="array" aca="1" ref="E122" ca="1">_xlfn.IFS(B122&lt;=30,5,B122&lt;=60,4,B122&lt;=90,3,B122&lt;=120,2,TRUE,1)</f>
        <v>5</v>
      </c>
      <c r="F122" cm="1">
        <f t="array" ref="F122">_xlfn.IFS(C122&gt;=8,5,C122&gt;=5,4,C122&gt;=3,3,C122&gt;=2,2,TRUE,1)</f>
        <v>4</v>
      </c>
      <c r="G122" cm="1">
        <f t="array" ref="G122">_xlfn.IFS(D122&gt;=15000,5,D122&gt;=8000,4,D122&gt;=3000,3,D122&gt;=1000,2,TRUE,1)</f>
        <v>4</v>
      </c>
      <c r="H122" t="str">
        <f t="shared" ca="1" si="1"/>
        <v>544</v>
      </c>
      <c r="I122" t="str" cm="1">
        <f t="array" aca="1" ref="I122" ca="1">_xlfn.IFS(
  H122="555","Champions",
  VALUE(LEFT(H122,2))&gt;=54,"Loyal Customers",
  VALUE(LEFT(H122,1))&gt;=4,"Potential Loyalists",
  VALUE(RIGHT(H122,2))&gt;=45,"New Customers",
  VALUE(LEFT(H122,1))&lt;=2,"At Risk",
  VALUE(LEFT(H122,1))&lt;=1,"Can't Lose",
  TRUE,"Others"
)</f>
        <v>Loyal Customers</v>
      </c>
    </row>
    <row r="123" spans="1:9" x14ac:dyDescent="0.35">
      <c r="A123" t="str">
        <v>CUST0092</v>
      </c>
      <c r="B123" s="3">
        <f ca="1">TODAY()-Sheet1!B123</f>
        <v>68</v>
      </c>
      <c r="C123" s="3">
        <f>COUNTIFS(Sheet1!A123:A1122,A123)</f>
        <v>7</v>
      </c>
      <c r="D123" s="4">
        <v>5651.98</v>
      </c>
      <c r="E123" cm="1">
        <f t="array" aca="1" ref="E123" ca="1">_xlfn.IFS(B123&lt;=30,5,B123&lt;=60,4,B123&lt;=90,3,B123&lt;=120,2,TRUE,1)</f>
        <v>3</v>
      </c>
      <c r="F123" cm="1">
        <f t="array" ref="F123">_xlfn.IFS(C123&gt;=8,5,C123&gt;=5,4,C123&gt;=3,3,C123&gt;=2,2,TRUE,1)</f>
        <v>4</v>
      </c>
      <c r="G123" cm="1">
        <f t="array" ref="G123">_xlfn.IFS(D123&gt;=15000,5,D123&gt;=8000,4,D123&gt;=3000,3,D123&gt;=1000,2,TRUE,1)</f>
        <v>3</v>
      </c>
      <c r="H123" t="str">
        <f t="shared" ca="1" si="1"/>
        <v>343</v>
      </c>
      <c r="I123" t="str" cm="1">
        <f t="array" aca="1" ref="I123" ca="1">_xlfn.IFS(
  H123="555","Champions",
  VALUE(LEFT(H123,2))&gt;=54,"Loyal Customers",
  VALUE(LEFT(H123,1))&gt;=4,"Potential Loyalists",
  VALUE(RIGHT(H123,2))&gt;=45,"New Customers",
  VALUE(LEFT(H123,1))&lt;=2,"At Risk",
  VALUE(LEFT(H123,1))&lt;=1,"Can't Lose",
  TRUE,"Others"
)</f>
        <v>Others</v>
      </c>
    </row>
    <row r="124" spans="1:9" x14ac:dyDescent="0.35">
      <c r="A124" t="str">
        <v>CUST0123</v>
      </c>
      <c r="B124" s="3">
        <f ca="1">TODAY()-Sheet1!B124</f>
        <v>82</v>
      </c>
      <c r="C124" s="3">
        <f>COUNTIFS(Sheet1!A124:A1123,A124)</f>
        <v>4</v>
      </c>
      <c r="D124" s="4">
        <v>14570.18</v>
      </c>
      <c r="E124" cm="1">
        <f t="array" aca="1" ref="E124" ca="1">_xlfn.IFS(B124&lt;=30,5,B124&lt;=60,4,B124&lt;=90,3,B124&lt;=120,2,TRUE,1)</f>
        <v>3</v>
      </c>
      <c r="F124" cm="1">
        <f t="array" ref="F124">_xlfn.IFS(C124&gt;=8,5,C124&gt;=5,4,C124&gt;=3,3,C124&gt;=2,2,TRUE,1)</f>
        <v>3</v>
      </c>
      <c r="G124" cm="1">
        <f t="array" ref="G124">_xlfn.IFS(D124&gt;=15000,5,D124&gt;=8000,4,D124&gt;=3000,3,D124&gt;=1000,2,TRUE,1)</f>
        <v>4</v>
      </c>
      <c r="H124" t="str">
        <f t="shared" ca="1" si="1"/>
        <v>334</v>
      </c>
      <c r="I124" t="str" cm="1">
        <f t="array" aca="1" ref="I124" ca="1">_xlfn.IFS(
  H124="555","Champions",
  VALUE(LEFT(H124,2))&gt;=54,"Loyal Customers",
  VALUE(LEFT(H124,1))&gt;=4,"Potential Loyalists",
  VALUE(RIGHT(H124,2))&gt;=45,"New Customers",
  VALUE(LEFT(H124,1))&lt;=2,"At Risk",
  VALUE(LEFT(H124,1))&lt;=1,"Can't Lose",
  TRUE,"Others"
)</f>
        <v>Others</v>
      </c>
    </row>
    <row r="125" spans="1:9" x14ac:dyDescent="0.35">
      <c r="A125" t="str">
        <v>CUST0155</v>
      </c>
      <c r="B125" s="3">
        <f ca="1">TODAY()-Sheet1!B125</f>
        <v>8</v>
      </c>
      <c r="C125" s="3">
        <f>COUNTIFS(Sheet1!A125:A1124,A125)</f>
        <v>5</v>
      </c>
      <c r="D125" s="4">
        <v>4818.72</v>
      </c>
      <c r="E125" cm="1">
        <f t="array" aca="1" ref="E125" ca="1">_xlfn.IFS(B125&lt;=30,5,B125&lt;=60,4,B125&lt;=90,3,B125&lt;=120,2,TRUE,1)</f>
        <v>5</v>
      </c>
      <c r="F125" cm="1">
        <f t="array" ref="F125">_xlfn.IFS(C125&gt;=8,5,C125&gt;=5,4,C125&gt;=3,3,C125&gt;=2,2,TRUE,1)</f>
        <v>4</v>
      </c>
      <c r="G125" cm="1">
        <f t="array" ref="G125">_xlfn.IFS(D125&gt;=15000,5,D125&gt;=8000,4,D125&gt;=3000,3,D125&gt;=1000,2,TRUE,1)</f>
        <v>3</v>
      </c>
      <c r="H125" t="str">
        <f t="shared" ca="1" si="1"/>
        <v>543</v>
      </c>
      <c r="I125" t="str" cm="1">
        <f t="array" aca="1" ref="I125" ca="1">_xlfn.IFS(
  H125="555","Champions",
  VALUE(LEFT(H125,2))&gt;=54,"Loyal Customers",
  VALUE(LEFT(H125,1))&gt;=4,"Potential Loyalists",
  VALUE(RIGHT(H125,2))&gt;=45,"New Customers",
  VALUE(LEFT(H125,1))&lt;=2,"At Risk",
  VALUE(LEFT(H125,1))&lt;=1,"Can't Lose",
  TRUE,"Others"
)</f>
        <v>Loyal Customers</v>
      </c>
    </row>
    <row r="126" spans="1:9" x14ac:dyDescent="0.35">
      <c r="A126" t="str">
        <v>CUST0122</v>
      </c>
      <c r="B126" s="3">
        <f ca="1">TODAY()-Sheet1!B126</f>
        <v>42</v>
      </c>
      <c r="C126" s="3">
        <f>COUNTIFS(Sheet1!A126:A1125,A126)</f>
        <v>3</v>
      </c>
      <c r="D126" s="4">
        <v>20768.28</v>
      </c>
      <c r="E126" cm="1">
        <f t="array" aca="1" ref="E126" ca="1">_xlfn.IFS(B126&lt;=30,5,B126&lt;=60,4,B126&lt;=90,3,B126&lt;=120,2,TRUE,1)</f>
        <v>4</v>
      </c>
      <c r="F126" cm="1">
        <f t="array" ref="F126">_xlfn.IFS(C126&gt;=8,5,C126&gt;=5,4,C126&gt;=3,3,C126&gt;=2,2,TRUE,1)</f>
        <v>3</v>
      </c>
      <c r="G126" cm="1">
        <f t="array" ref="G126">_xlfn.IFS(D126&gt;=15000,5,D126&gt;=8000,4,D126&gt;=3000,3,D126&gt;=1000,2,TRUE,1)</f>
        <v>5</v>
      </c>
      <c r="H126" t="str">
        <f t="shared" ca="1" si="1"/>
        <v>435</v>
      </c>
      <c r="I126" t="str" cm="1">
        <f t="array" aca="1" ref="I126" ca="1">_xlfn.IFS(
  H126="555","Champions",
  VALUE(LEFT(H126,2))&gt;=54,"Loyal Customers",
  VALUE(LEFT(H126,1))&gt;=4,"Potential Loyalists",
  VALUE(RIGHT(H126,2))&gt;=45,"New Customers",
  VALUE(LEFT(H126,1))&lt;=2,"At Risk",
  VALUE(LEFT(H126,1))&lt;=1,"Can't Lose",
  TRUE,"Others"
)</f>
        <v>Potential Loyalists</v>
      </c>
    </row>
    <row r="127" spans="1:9" x14ac:dyDescent="0.35">
      <c r="A127" t="str">
        <v>CUST0168</v>
      </c>
      <c r="B127" s="3">
        <f ca="1">TODAY()-Sheet1!B127</f>
        <v>90</v>
      </c>
      <c r="C127" s="3">
        <f>COUNTIFS(Sheet1!A127:A1126,A127)</f>
        <v>3</v>
      </c>
      <c r="D127" s="4">
        <v>18252.46</v>
      </c>
      <c r="E127" cm="1">
        <f t="array" aca="1" ref="E127" ca="1">_xlfn.IFS(B127&lt;=30,5,B127&lt;=60,4,B127&lt;=90,3,B127&lt;=120,2,TRUE,1)</f>
        <v>3</v>
      </c>
      <c r="F127" cm="1">
        <f t="array" ref="F127">_xlfn.IFS(C127&gt;=8,5,C127&gt;=5,4,C127&gt;=3,3,C127&gt;=2,2,TRUE,1)</f>
        <v>3</v>
      </c>
      <c r="G127" cm="1">
        <f t="array" ref="G127">_xlfn.IFS(D127&gt;=15000,5,D127&gt;=8000,4,D127&gt;=3000,3,D127&gt;=1000,2,TRUE,1)</f>
        <v>5</v>
      </c>
      <c r="H127" t="str">
        <f t="shared" ca="1" si="1"/>
        <v>335</v>
      </c>
      <c r="I127" t="str" cm="1">
        <f t="array" aca="1" ref="I127" ca="1">_xlfn.IFS(
  H127="555","Champions",
  VALUE(LEFT(H127,2))&gt;=54,"Loyal Customers",
  VALUE(LEFT(H127,1))&gt;=4,"Potential Loyalists",
  VALUE(RIGHT(H127,2))&gt;=45,"New Customers",
  VALUE(LEFT(H127,1))&lt;=2,"At Risk",
  VALUE(LEFT(H127,1))&lt;=1,"Can't Lose",
  TRUE,"Others"
)</f>
        <v>Others</v>
      </c>
    </row>
    <row r="128" spans="1:9" x14ac:dyDescent="0.35">
      <c r="A128" t="str">
        <v>CUST0068</v>
      </c>
      <c r="B128" s="3">
        <f ca="1">TODAY()-Sheet1!B128</f>
        <v>97</v>
      </c>
      <c r="C128" s="3">
        <f>COUNTIFS(Sheet1!A128:A1127,A128)</f>
        <v>7</v>
      </c>
      <c r="D128" s="4">
        <v>19913.96</v>
      </c>
      <c r="E128" cm="1">
        <f t="array" aca="1" ref="E128" ca="1">_xlfn.IFS(B128&lt;=30,5,B128&lt;=60,4,B128&lt;=90,3,B128&lt;=120,2,TRUE,1)</f>
        <v>2</v>
      </c>
      <c r="F128" cm="1">
        <f t="array" ref="F128">_xlfn.IFS(C128&gt;=8,5,C128&gt;=5,4,C128&gt;=3,3,C128&gt;=2,2,TRUE,1)</f>
        <v>4</v>
      </c>
      <c r="G128" cm="1">
        <f t="array" ref="G128">_xlfn.IFS(D128&gt;=15000,5,D128&gt;=8000,4,D128&gt;=3000,3,D128&gt;=1000,2,TRUE,1)</f>
        <v>5</v>
      </c>
      <c r="H128" t="str">
        <f t="shared" ca="1" si="1"/>
        <v>245</v>
      </c>
      <c r="I128" t="str" cm="1">
        <f t="array" aca="1" ref="I128" ca="1">_xlfn.IFS(
  H128="555","Champions",
  VALUE(LEFT(H128,2))&gt;=54,"Loyal Customers",
  VALUE(LEFT(H128,1))&gt;=4,"Potential Loyalists",
  VALUE(RIGHT(H128,2))&gt;=45,"New Customers",
  VALUE(LEFT(H128,1))&lt;=2,"At Risk",
  VALUE(LEFT(H128,1))&lt;=1,"Can't Lose",
  TRUE,"Others"
)</f>
        <v>New Customers</v>
      </c>
    </row>
    <row r="129" spans="1:9" x14ac:dyDescent="0.35">
      <c r="A129" t="str">
        <v>CUST0064</v>
      </c>
      <c r="B129" s="3">
        <f ca="1">TODAY()-Sheet1!B129</f>
        <v>74</v>
      </c>
      <c r="C129" s="3">
        <f>COUNTIFS(Sheet1!A129:A1128,A129)</f>
        <v>4</v>
      </c>
      <c r="D129" s="4">
        <v>17291.96</v>
      </c>
      <c r="E129" cm="1">
        <f t="array" aca="1" ref="E129" ca="1">_xlfn.IFS(B129&lt;=30,5,B129&lt;=60,4,B129&lt;=90,3,B129&lt;=120,2,TRUE,1)</f>
        <v>3</v>
      </c>
      <c r="F129" cm="1">
        <f t="array" ref="F129">_xlfn.IFS(C129&gt;=8,5,C129&gt;=5,4,C129&gt;=3,3,C129&gt;=2,2,TRUE,1)</f>
        <v>3</v>
      </c>
      <c r="G129" cm="1">
        <f t="array" ref="G129">_xlfn.IFS(D129&gt;=15000,5,D129&gt;=8000,4,D129&gt;=3000,3,D129&gt;=1000,2,TRUE,1)</f>
        <v>5</v>
      </c>
      <c r="H129" t="str">
        <f t="shared" ca="1" si="1"/>
        <v>335</v>
      </c>
      <c r="I129" t="str" cm="1">
        <f t="array" aca="1" ref="I129" ca="1">_xlfn.IFS(
  H129="555","Champions",
  VALUE(LEFT(H129,2))&gt;=54,"Loyal Customers",
  VALUE(LEFT(H129,1))&gt;=4,"Potential Loyalists",
  VALUE(RIGHT(H129,2))&gt;=45,"New Customers",
  VALUE(LEFT(H129,1))&lt;=2,"At Risk",
  VALUE(LEFT(H129,1))&lt;=1,"Can't Lose",
  TRUE,"Others"
)</f>
        <v>Others</v>
      </c>
    </row>
    <row r="130" spans="1:9" x14ac:dyDescent="0.35">
      <c r="A130" t="str">
        <v>CUST0023</v>
      </c>
      <c r="B130" s="3">
        <f ca="1">TODAY()-Sheet1!B130</f>
        <v>43</v>
      </c>
      <c r="C130" s="3">
        <f>COUNTIFS(Sheet1!A130:A1129,A130)</f>
        <v>6</v>
      </c>
      <c r="D130" s="4">
        <v>14013.36</v>
      </c>
      <c r="E130" cm="1">
        <f t="array" aca="1" ref="E130" ca="1">_xlfn.IFS(B130&lt;=30,5,B130&lt;=60,4,B130&lt;=90,3,B130&lt;=120,2,TRUE,1)</f>
        <v>4</v>
      </c>
      <c r="F130" cm="1">
        <f t="array" ref="F130">_xlfn.IFS(C130&gt;=8,5,C130&gt;=5,4,C130&gt;=3,3,C130&gt;=2,2,TRUE,1)</f>
        <v>4</v>
      </c>
      <c r="G130" cm="1">
        <f t="array" ref="G130">_xlfn.IFS(D130&gt;=15000,5,D130&gt;=8000,4,D130&gt;=3000,3,D130&gt;=1000,2,TRUE,1)</f>
        <v>4</v>
      </c>
      <c r="H130" t="str">
        <f t="shared" ca="1" si="1"/>
        <v>444</v>
      </c>
      <c r="I130" t="str" cm="1">
        <f t="array" aca="1" ref="I130" ca="1">_xlfn.IFS(
  H130="555","Champions",
  VALUE(LEFT(H130,2))&gt;=54,"Loyal Customers",
  VALUE(LEFT(H130,1))&gt;=4,"Potential Loyalists",
  VALUE(RIGHT(H130,2))&gt;=45,"New Customers",
  VALUE(LEFT(H130,1))&lt;=2,"At Risk",
  VALUE(LEFT(H130,1))&lt;=1,"Can't Lose",
  TRUE,"Others"
)</f>
        <v>Potential Loyalists</v>
      </c>
    </row>
    <row r="131" spans="1:9" x14ac:dyDescent="0.35">
      <c r="A131" t="str">
        <v>CUST0128</v>
      </c>
      <c r="B131" s="3">
        <f ca="1">TODAY()-Sheet1!B131</f>
        <v>90</v>
      </c>
      <c r="C131" s="3">
        <f>COUNTIFS(Sheet1!A131:A1130,A131)</f>
        <v>5</v>
      </c>
      <c r="D131" s="4">
        <v>3864.3500000000004</v>
      </c>
      <c r="E131" cm="1">
        <f t="array" aca="1" ref="E131" ca="1">_xlfn.IFS(B131&lt;=30,5,B131&lt;=60,4,B131&lt;=90,3,B131&lt;=120,2,TRUE,1)</f>
        <v>3</v>
      </c>
      <c r="F131" cm="1">
        <f t="array" ref="F131">_xlfn.IFS(C131&gt;=8,5,C131&gt;=5,4,C131&gt;=3,3,C131&gt;=2,2,TRUE,1)</f>
        <v>4</v>
      </c>
      <c r="G131" cm="1">
        <f t="array" ref="G131">_xlfn.IFS(D131&gt;=15000,5,D131&gt;=8000,4,D131&gt;=3000,3,D131&gt;=1000,2,TRUE,1)</f>
        <v>3</v>
      </c>
      <c r="H131" t="str">
        <f t="shared" ref="H131:H194" ca="1" si="2">E131&amp;F131&amp;G131</f>
        <v>343</v>
      </c>
      <c r="I131" t="str" cm="1">
        <f t="array" aca="1" ref="I131" ca="1">_xlfn.IFS(
  H131="555","Champions",
  VALUE(LEFT(H131,2))&gt;=54,"Loyal Customers",
  VALUE(LEFT(H131,1))&gt;=4,"Potential Loyalists",
  VALUE(RIGHT(H131,2))&gt;=45,"New Customers",
  VALUE(LEFT(H131,1))&lt;=2,"At Risk",
  VALUE(LEFT(H131,1))&lt;=1,"Can't Lose",
  TRUE,"Others"
)</f>
        <v>Others</v>
      </c>
    </row>
    <row r="132" spans="1:9" x14ac:dyDescent="0.35">
      <c r="A132" t="str">
        <v>CUST0041</v>
      </c>
      <c r="B132" s="3">
        <f ca="1">TODAY()-Sheet1!B132</f>
        <v>36</v>
      </c>
      <c r="C132" s="3">
        <f>COUNTIFS(Sheet1!A132:A1131,A132)</f>
        <v>4</v>
      </c>
      <c r="D132" s="4">
        <v>12410.64</v>
      </c>
      <c r="E132" cm="1">
        <f t="array" aca="1" ref="E132" ca="1">_xlfn.IFS(B132&lt;=30,5,B132&lt;=60,4,B132&lt;=90,3,B132&lt;=120,2,TRUE,1)</f>
        <v>4</v>
      </c>
      <c r="F132" cm="1">
        <f t="array" ref="F132">_xlfn.IFS(C132&gt;=8,5,C132&gt;=5,4,C132&gt;=3,3,C132&gt;=2,2,TRUE,1)</f>
        <v>3</v>
      </c>
      <c r="G132" cm="1">
        <f t="array" ref="G132">_xlfn.IFS(D132&gt;=15000,5,D132&gt;=8000,4,D132&gt;=3000,3,D132&gt;=1000,2,TRUE,1)</f>
        <v>4</v>
      </c>
      <c r="H132" t="str">
        <f t="shared" ca="1" si="2"/>
        <v>434</v>
      </c>
      <c r="I132" t="str" cm="1">
        <f t="array" aca="1" ref="I132" ca="1">_xlfn.IFS(
  H132="555","Champions",
  VALUE(LEFT(H132,2))&gt;=54,"Loyal Customers",
  VALUE(LEFT(H132,1))&gt;=4,"Potential Loyalists",
  VALUE(RIGHT(H132,2))&gt;=45,"New Customers",
  VALUE(LEFT(H132,1))&lt;=2,"At Risk",
  VALUE(LEFT(H132,1))&lt;=1,"Can't Lose",
  TRUE,"Others"
)</f>
        <v>Potential Loyalists</v>
      </c>
    </row>
    <row r="133" spans="1:9" x14ac:dyDescent="0.35">
      <c r="A133" t="str">
        <v>CUST0181</v>
      </c>
      <c r="B133" s="3">
        <f ca="1">TODAY()-Sheet1!B133</f>
        <v>4</v>
      </c>
      <c r="C133" s="3">
        <f>COUNTIFS(Sheet1!A133:A1132,A133)</f>
        <v>7</v>
      </c>
      <c r="D133" s="4">
        <v>19390.330000000002</v>
      </c>
      <c r="E133" cm="1">
        <f t="array" aca="1" ref="E133" ca="1">_xlfn.IFS(B133&lt;=30,5,B133&lt;=60,4,B133&lt;=90,3,B133&lt;=120,2,TRUE,1)</f>
        <v>5</v>
      </c>
      <c r="F133" cm="1">
        <f t="array" ref="F133">_xlfn.IFS(C133&gt;=8,5,C133&gt;=5,4,C133&gt;=3,3,C133&gt;=2,2,TRUE,1)</f>
        <v>4</v>
      </c>
      <c r="G133" cm="1">
        <f t="array" ref="G133">_xlfn.IFS(D133&gt;=15000,5,D133&gt;=8000,4,D133&gt;=3000,3,D133&gt;=1000,2,TRUE,1)</f>
        <v>5</v>
      </c>
      <c r="H133" t="str">
        <f t="shared" ca="1" si="2"/>
        <v>545</v>
      </c>
      <c r="I133" t="str" cm="1">
        <f t="array" aca="1" ref="I133" ca="1">_xlfn.IFS(
  H133="555","Champions",
  VALUE(LEFT(H133,2))&gt;=54,"Loyal Customers",
  VALUE(LEFT(H133,1))&gt;=4,"Potential Loyalists",
  VALUE(RIGHT(H133,2))&gt;=45,"New Customers",
  VALUE(LEFT(H133,1))&lt;=2,"At Risk",
  VALUE(LEFT(H133,1))&lt;=1,"Can't Lose",
  TRUE,"Others"
)</f>
        <v>Loyal Customers</v>
      </c>
    </row>
    <row r="134" spans="1:9" x14ac:dyDescent="0.35">
      <c r="A134" t="str">
        <v>CUST0093</v>
      </c>
      <c r="B134" s="3">
        <f ca="1">TODAY()-Sheet1!B134</f>
        <v>49</v>
      </c>
      <c r="C134" s="3">
        <f>COUNTIFS(Sheet1!A134:A1133,A134)</f>
        <v>4</v>
      </c>
      <c r="D134" s="4">
        <v>10908.300000000003</v>
      </c>
      <c r="E134" cm="1">
        <f t="array" aca="1" ref="E134" ca="1">_xlfn.IFS(B134&lt;=30,5,B134&lt;=60,4,B134&lt;=90,3,B134&lt;=120,2,TRUE,1)</f>
        <v>4</v>
      </c>
      <c r="F134" cm="1">
        <f t="array" ref="F134">_xlfn.IFS(C134&gt;=8,5,C134&gt;=5,4,C134&gt;=3,3,C134&gt;=2,2,TRUE,1)</f>
        <v>3</v>
      </c>
      <c r="G134" cm="1">
        <f t="array" ref="G134">_xlfn.IFS(D134&gt;=15000,5,D134&gt;=8000,4,D134&gt;=3000,3,D134&gt;=1000,2,TRUE,1)</f>
        <v>4</v>
      </c>
      <c r="H134" t="str">
        <f t="shared" ca="1" si="2"/>
        <v>434</v>
      </c>
      <c r="I134" t="str" cm="1">
        <f t="array" aca="1" ref="I134" ca="1">_xlfn.IFS(
  H134="555","Champions",
  VALUE(LEFT(H134,2))&gt;=54,"Loyal Customers",
  VALUE(LEFT(H134,1))&gt;=4,"Potential Loyalists",
  VALUE(RIGHT(H134,2))&gt;=45,"New Customers",
  VALUE(LEFT(H134,1))&lt;=2,"At Risk",
  VALUE(LEFT(H134,1))&lt;=1,"Can't Lose",
  TRUE,"Others"
)</f>
        <v>Potential Loyalists</v>
      </c>
    </row>
    <row r="135" spans="1:9" x14ac:dyDescent="0.35">
      <c r="A135" t="str">
        <v>CUST0076</v>
      </c>
      <c r="B135" s="3">
        <f ca="1">TODAY()-Sheet1!B135</f>
        <v>45</v>
      </c>
      <c r="C135" s="3">
        <f>COUNTIFS(Sheet1!A135:A1134,A135)</f>
        <v>3</v>
      </c>
      <c r="D135" s="4">
        <v>8062.6</v>
      </c>
      <c r="E135" cm="1">
        <f t="array" aca="1" ref="E135" ca="1">_xlfn.IFS(B135&lt;=30,5,B135&lt;=60,4,B135&lt;=90,3,B135&lt;=120,2,TRUE,1)</f>
        <v>4</v>
      </c>
      <c r="F135" cm="1">
        <f t="array" ref="F135">_xlfn.IFS(C135&gt;=8,5,C135&gt;=5,4,C135&gt;=3,3,C135&gt;=2,2,TRUE,1)</f>
        <v>3</v>
      </c>
      <c r="G135" cm="1">
        <f t="array" ref="G135">_xlfn.IFS(D135&gt;=15000,5,D135&gt;=8000,4,D135&gt;=3000,3,D135&gt;=1000,2,TRUE,1)</f>
        <v>4</v>
      </c>
      <c r="H135" t="str">
        <f t="shared" ca="1" si="2"/>
        <v>434</v>
      </c>
      <c r="I135" t="str" cm="1">
        <f t="array" aca="1" ref="I135" ca="1">_xlfn.IFS(
  H135="555","Champions",
  VALUE(LEFT(H135,2))&gt;=54,"Loyal Customers",
  VALUE(LEFT(H135,1))&gt;=4,"Potential Loyalists",
  VALUE(RIGHT(H135,2))&gt;=45,"New Customers",
  VALUE(LEFT(H135,1))&lt;=2,"At Risk",
  VALUE(LEFT(H135,1))&lt;=1,"Can't Lose",
  TRUE,"Others"
)</f>
        <v>Potential Loyalists</v>
      </c>
    </row>
    <row r="136" spans="1:9" x14ac:dyDescent="0.35">
      <c r="A136" t="str">
        <v>CUST0030</v>
      </c>
      <c r="B136" s="3">
        <f ca="1">TODAY()-Sheet1!B136</f>
        <v>48</v>
      </c>
      <c r="C136" s="3">
        <f>COUNTIFS(Sheet1!A136:A1135,A136)</f>
        <v>4</v>
      </c>
      <c r="D136" s="4">
        <v>21343.09</v>
      </c>
      <c r="E136" cm="1">
        <f t="array" aca="1" ref="E136" ca="1">_xlfn.IFS(B136&lt;=30,5,B136&lt;=60,4,B136&lt;=90,3,B136&lt;=120,2,TRUE,1)</f>
        <v>4</v>
      </c>
      <c r="F136" cm="1">
        <f t="array" ref="F136">_xlfn.IFS(C136&gt;=8,5,C136&gt;=5,4,C136&gt;=3,3,C136&gt;=2,2,TRUE,1)</f>
        <v>3</v>
      </c>
      <c r="G136" cm="1">
        <f t="array" ref="G136">_xlfn.IFS(D136&gt;=15000,5,D136&gt;=8000,4,D136&gt;=3000,3,D136&gt;=1000,2,TRUE,1)</f>
        <v>5</v>
      </c>
      <c r="H136" t="str">
        <f t="shared" ca="1" si="2"/>
        <v>435</v>
      </c>
      <c r="I136" t="str" cm="1">
        <f t="array" aca="1" ref="I136" ca="1">_xlfn.IFS(
  H136="555","Champions",
  VALUE(LEFT(H136,2))&gt;=54,"Loyal Customers",
  VALUE(LEFT(H136,1))&gt;=4,"Potential Loyalists",
  VALUE(RIGHT(H136,2))&gt;=45,"New Customers",
  VALUE(LEFT(H136,1))&lt;=2,"At Risk",
  VALUE(LEFT(H136,1))&lt;=1,"Can't Lose",
  TRUE,"Others"
)</f>
        <v>Potential Loyalists</v>
      </c>
    </row>
    <row r="137" spans="1:9" x14ac:dyDescent="0.35">
      <c r="A137" t="str">
        <v>CUST0001</v>
      </c>
      <c r="B137" s="3">
        <f ca="1">TODAY()-Sheet1!B137</f>
        <v>66</v>
      </c>
      <c r="C137" s="3">
        <f>COUNTIFS(Sheet1!A137:A1136,A137)</f>
        <v>4</v>
      </c>
      <c r="D137" s="4">
        <v>10454.130000000001</v>
      </c>
      <c r="E137" cm="1">
        <f t="array" aca="1" ref="E137" ca="1">_xlfn.IFS(B137&lt;=30,5,B137&lt;=60,4,B137&lt;=90,3,B137&lt;=120,2,TRUE,1)</f>
        <v>3</v>
      </c>
      <c r="F137" cm="1">
        <f t="array" ref="F137">_xlfn.IFS(C137&gt;=8,5,C137&gt;=5,4,C137&gt;=3,3,C137&gt;=2,2,TRUE,1)</f>
        <v>3</v>
      </c>
      <c r="G137" cm="1">
        <f t="array" ref="G137">_xlfn.IFS(D137&gt;=15000,5,D137&gt;=8000,4,D137&gt;=3000,3,D137&gt;=1000,2,TRUE,1)</f>
        <v>4</v>
      </c>
      <c r="H137" t="str">
        <f t="shared" ca="1" si="2"/>
        <v>334</v>
      </c>
      <c r="I137" t="str" cm="1">
        <f t="array" aca="1" ref="I137" ca="1">_xlfn.IFS(
  H137="555","Champions",
  VALUE(LEFT(H137,2))&gt;=54,"Loyal Customers",
  VALUE(LEFT(H137,1))&gt;=4,"Potential Loyalists",
  VALUE(RIGHT(H137,2))&gt;=45,"New Customers",
  VALUE(LEFT(H137,1))&lt;=2,"At Risk",
  VALUE(LEFT(H137,1))&lt;=1,"Can't Lose",
  TRUE,"Others"
)</f>
        <v>Others</v>
      </c>
    </row>
    <row r="138" spans="1:9" x14ac:dyDescent="0.35">
      <c r="A138" t="str">
        <v>CUST0124</v>
      </c>
      <c r="B138" s="3">
        <f ca="1">TODAY()-Sheet1!B138</f>
        <v>91</v>
      </c>
      <c r="C138" s="3">
        <f>COUNTIFS(Sheet1!A138:A1137,A138)</f>
        <v>3</v>
      </c>
      <c r="D138" s="4">
        <v>21846.560000000001</v>
      </c>
      <c r="E138" cm="1">
        <f t="array" aca="1" ref="E138" ca="1">_xlfn.IFS(B138&lt;=30,5,B138&lt;=60,4,B138&lt;=90,3,B138&lt;=120,2,TRUE,1)</f>
        <v>2</v>
      </c>
      <c r="F138" cm="1">
        <f t="array" ref="F138">_xlfn.IFS(C138&gt;=8,5,C138&gt;=5,4,C138&gt;=3,3,C138&gt;=2,2,TRUE,1)</f>
        <v>3</v>
      </c>
      <c r="G138" cm="1">
        <f t="array" ref="G138">_xlfn.IFS(D138&gt;=15000,5,D138&gt;=8000,4,D138&gt;=3000,3,D138&gt;=1000,2,TRUE,1)</f>
        <v>5</v>
      </c>
      <c r="H138" t="str">
        <f t="shared" ca="1" si="2"/>
        <v>235</v>
      </c>
      <c r="I138" t="str" cm="1">
        <f t="array" aca="1" ref="I138" ca="1">_xlfn.IFS(
  H138="555","Champions",
  VALUE(LEFT(H138,2))&gt;=54,"Loyal Customers",
  VALUE(LEFT(H138,1))&gt;=4,"Potential Loyalists",
  VALUE(RIGHT(H138,2))&gt;=45,"New Customers",
  VALUE(LEFT(H138,1))&lt;=2,"At Risk",
  VALUE(LEFT(H138,1))&lt;=1,"Can't Lose",
  TRUE,"Others"
)</f>
        <v>At Risk</v>
      </c>
    </row>
    <row r="139" spans="1:9" x14ac:dyDescent="0.35">
      <c r="A139" t="str">
        <v>CUST0081</v>
      </c>
      <c r="B139" s="3">
        <f ca="1">TODAY()-Sheet1!B139</f>
        <v>45</v>
      </c>
      <c r="C139" s="3">
        <f>COUNTIFS(Sheet1!A139:A1138,A139)</f>
        <v>3</v>
      </c>
      <c r="D139" s="4">
        <v>10985.26</v>
      </c>
      <c r="E139" cm="1">
        <f t="array" aca="1" ref="E139" ca="1">_xlfn.IFS(B139&lt;=30,5,B139&lt;=60,4,B139&lt;=90,3,B139&lt;=120,2,TRUE,1)</f>
        <v>4</v>
      </c>
      <c r="F139" cm="1">
        <f t="array" ref="F139">_xlfn.IFS(C139&gt;=8,5,C139&gt;=5,4,C139&gt;=3,3,C139&gt;=2,2,TRUE,1)</f>
        <v>3</v>
      </c>
      <c r="G139" cm="1">
        <f t="array" ref="G139">_xlfn.IFS(D139&gt;=15000,5,D139&gt;=8000,4,D139&gt;=3000,3,D139&gt;=1000,2,TRUE,1)</f>
        <v>4</v>
      </c>
      <c r="H139" t="str">
        <f t="shared" ca="1" si="2"/>
        <v>434</v>
      </c>
      <c r="I139" t="str" cm="1">
        <f t="array" aca="1" ref="I139" ca="1">_xlfn.IFS(
  H139="555","Champions",
  VALUE(LEFT(H139,2))&gt;=54,"Loyal Customers",
  VALUE(LEFT(H139,1))&gt;=4,"Potential Loyalists",
  VALUE(RIGHT(H139,2))&gt;=45,"New Customers",
  VALUE(LEFT(H139,1))&lt;=2,"At Risk",
  VALUE(LEFT(H139,1))&lt;=1,"Can't Lose",
  TRUE,"Others"
)</f>
        <v>Potential Loyalists</v>
      </c>
    </row>
    <row r="140" spans="1:9" x14ac:dyDescent="0.35">
      <c r="A140" t="str">
        <v>CUST0005</v>
      </c>
      <c r="B140" s="3">
        <f ca="1">TODAY()-Sheet1!B140</f>
        <v>79</v>
      </c>
      <c r="C140" s="3">
        <f>COUNTIFS(Sheet1!A140:A1139,A140)</f>
        <v>5</v>
      </c>
      <c r="D140" s="4">
        <v>19843.41</v>
      </c>
      <c r="E140" cm="1">
        <f t="array" aca="1" ref="E140" ca="1">_xlfn.IFS(B140&lt;=30,5,B140&lt;=60,4,B140&lt;=90,3,B140&lt;=120,2,TRUE,1)</f>
        <v>3</v>
      </c>
      <c r="F140" cm="1">
        <f t="array" ref="F140">_xlfn.IFS(C140&gt;=8,5,C140&gt;=5,4,C140&gt;=3,3,C140&gt;=2,2,TRUE,1)</f>
        <v>4</v>
      </c>
      <c r="G140" cm="1">
        <f t="array" ref="G140">_xlfn.IFS(D140&gt;=15000,5,D140&gt;=8000,4,D140&gt;=3000,3,D140&gt;=1000,2,TRUE,1)</f>
        <v>5</v>
      </c>
      <c r="H140" t="str">
        <f t="shared" ca="1" si="2"/>
        <v>345</v>
      </c>
      <c r="I140" t="str" cm="1">
        <f t="array" aca="1" ref="I140" ca="1">_xlfn.IFS(
  H140="555","Champions",
  VALUE(LEFT(H140,2))&gt;=54,"Loyal Customers",
  VALUE(LEFT(H140,1))&gt;=4,"Potential Loyalists",
  VALUE(RIGHT(H140,2))&gt;=45,"New Customers",
  VALUE(LEFT(H140,1))&lt;=2,"At Risk",
  VALUE(LEFT(H140,1))&lt;=1,"Can't Lose",
  TRUE,"Others"
)</f>
        <v>New Customers</v>
      </c>
    </row>
    <row r="141" spans="1:9" x14ac:dyDescent="0.35">
      <c r="A141" t="str">
        <v>CUST0062</v>
      </c>
      <c r="B141" s="3">
        <f ca="1">TODAY()-Sheet1!B141</f>
        <v>44</v>
      </c>
      <c r="C141" s="3">
        <f>COUNTIFS(Sheet1!A141:A1140,A141)</f>
        <v>4</v>
      </c>
      <c r="D141" s="4">
        <v>25584.960000000003</v>
      </c>
      <c r="E141" cm="1">
        <f t="array" aca="1" ref="E141" ca="1">_xlfn.IFS(B141&lt;=30,5,B141&lt;=60,4,B141&lt;=90,3,B141&lt;=120,2,TRUE,1)</f>
        <v>4</v>
      </c>
      <c r="F141" cm="1">
        <f t="array" ref="F141">_xlfn.IFS(C141&gt;=8,5,C141&gt;=5,4,C141&gt;=3,3,C141&gt;=2,2,TRUE,1)</f>
        <v>3</v>
      </c>
      <c r="G141" cm="1">
        <f t="array" ref="G141">_xlfn.IFS(D141&gt;=15000,5,D141&gt;=8000,4,D141&gt;=3000,3,D141&gt;=1000,2,TRUE,1)</f>
        <v>5</v>
      </c>
      <c r="H141" t="str">
        <f t="shared" ca="1" si="2"/>
        <v>435</v>
      </c>
      <c r="I141" t="str" cm="1">
        <f t="array" aca="1" ref="I141" ca="1">_xlfn.IFS(
  H141="555","Champions",
  VALUE(LEFT(H141,2))&gt;=54,"Loyal Customers",
  VALUE(LEFT(H141,1))&gt;=4,"Potential Loyalists",
  VALUE(RIGHT(H141,2))&gt;=45,"New Customers",
  VALUE(LEFT(H141,1))&lt;=2,"At Risk",
  VALUE(LEFT(H141,1))&lt;=1,"Can't Lose",
  TRUE,"Others"
)</f>
        <v>Potential Loyalists</v>
      </c>
    </row>
    <row r="142" spans="1:9" x14ac:dyDescent="0.35">
      <c r="A142" t="str">
        <v>CUST0027</v>
      </c>
      <c r="B142" s="3">
        <f ca="1">TODAY()-Sheet1!B142</f>
        <v>13</v>
      </c>
      <c r="C142" s="3">
        <f>COUNTIFS(Sheet1!A142:A1141,A142)</f>
        <v>5</v>
      </c>
      <c r="D142" s="4">
        <v>11965.71</v>
      </c>
      <c r="E142" cm="1">
        <f t="array" aca="1" ref="E142" ca="1">_xlfn.IFS(B142&lt;=30,5,B142&lt;=60,4,B142&lt;=90,3,B142&lt;=120,2,TRUE,1)</f>
        <v>5</v>
      </c>
      <c r="F142" cm="1">
        <f t="array" ref="F142">_xlfn.IFS(C142&gt;=8,5,C142&gt;=5,4,C142&gt;=3,3,C142&gt;=2,2,TRUE,1)</f>
        <v>4</v>
      </c>
      <c r="G142" cm="1">
        <f t="array" ref="G142">_xlfn.IFS(D142&gt;=15000,5,D142&gt;=8000,4,D142&gt;=3000,3,D142&gt;=1000,2,TRUE,1)</f>
        <v>4</v>
      </c>
      <c r="H142" t="str">
        <f t="shared" ca="1" si="2"/>
        <v>544</v>
      </c>
      <c r="I142" t="str" cm="1">
        <f t="array" aca="1" ref="I142" ca="1">_xlfn.IFS(
  H142="555","Champions",
  VALUE(LEFT(H142,2))&gt;=54,"Loyal Customers",
  VALUE(LEFT(H142,1))&gt;=4,"Potential Loyalists",
  VALUE(RIGHT(H142,2))&gt;=45,"New Customers",
  VALUE(LEFT(H142,1))&lt;=2,"At Risk",
  VALUE(LEFT(H142,1))&lt;=1,"Can't Lose",
  TRUE,"Others"
)</f>
        <v>Loyal Customers</v>
      </c>
    </row>
    <row r="143" spans="1:9" x14ac:dyDescent="0.35">
      <c r="A143" t="str">
        <v>CUST0082</v>
      </c>
      <c r="B143" s="3">
        <f ca="1">TODAY()-Sheet1!B143</f>
        <v>29</v>
      </c>
      <c r="C143" s="3">
        <f>COUNTIFS(Sheet1!A143:A1142,A143)</f>
        <v>10</v>
      </c>
      <c r="D143" s="4">
        <v>3589.76</v>
      </c>
      <c r="E143" cm="1">
        <f t="array" aca="1" ref="E143" ca="1">_xlfn.IFS(B143&lt;=30,5,B143&lt;=60,4,B143&lt;=90,3,B143&lt;=120,2,TRUE,1)</f>
        <v>5</v>
      </c>
      <c r="F143" cm="1">
        <f t="array" ref="F143">_xlfn.IFS(C143&gt;=8,5,C143&gt;=5,4,C143&gt;=3,3,C143&gt;=2,2,TRUE,1)</f>
        <v>5</v>
      </c>
      <c r="G143" cm="1">
        <f t="array" ref="G143">_xlfn.IFS(D143&gt;=15000,5,D143&gt;=8000,4,D143&gt;=3000,3,D143&gt;=1000,2,TRUE,1)</f>
        <v>3</v>
      </c>
      <c r="H143" t="str">
        <f t="shared" ca="1" si="2"/>
        <v>553</v>
      </c>
      <c r="I143" t="str" cm="1">
        <f t="array" aca="1" ref="I143" ca="1">_xlfn.IFS(
  H143="555","Champions",
  VALUE(LEFT(H143,2))&gt;=54,"Loyal Customers",
  VALUE(LEFT(H143,1))&gt;=4,"Potential Loyalists",
  VALUE(RIGHT(H143,2))&gt;=45,"New Customers",
  VALUE(LEFT(H143,1))&lt;=2,"At Risk",
  VALUE(LEFT(H143,1))&lt;=1,"Can't Lose",
  TRUE,"Others"
)</f>
        <v>Loyal Customers</v>
      </c>
    </row>
    <row r="144" spans="1:9" x14ac:dyDescent="0.35">
      <c r="A144" t="str">
        <v>CUST0127</v>
      </c>
      <c r="B144" s="3">
        <f ca="1">TODAY()-Sheet1!B144</f>
        <v>11</v>
      </c>
      <c r="C144" s="3">
        <f>COUNTIFS(Sheet1!A144:A1143,A144)</f>
        <v>1</v>
      </c>
      <c r="D144" s="4">
        <v>6737.08</v>
      </c>
      <c r="E144" cm="1">
        <f t="array" aca="1" ref="E144" ca="1">_xlfn.IFS(B144&lt;=30,5,B144&lt;=60,4,B144&lt;=90,3,B144&lt;=120,2,TRUE,1)</f>
        <v>5</v>
      </c>
      <c r="F144" cm="1">
        <f t="array" ref="F144">_xlfn.IFS(C144&gt;=8,5,C144&gt;=5,4,C144&gt;=3,3,C144&gt;=2,2,TRUE,1)</f>
        <v>1</v>
      </c>
      <c r="G144" cm="1">
        <f t="array" ref="G144">_xlfn.IFS(D144&gt;=15000,5,D144&gt;=8000,4,D144&gt;=3000,3,D144&gt;=1000,2,TRUE,1)</f>
        <v>3</v>
      </c>
      <c r="H144" t="str">
        <f t="shared" ca="1" si="2"/>
        <v>513</v>
      </c>
      <c r="I144" t="str" cm="1">
        <f t="array" aca="1" ref="I144" ca="1">_xlfn.IFS(
  H144="555","Champions",
  VALUE(LEFT(H144,2))&gt;=54,"Loyal Customers",
  VALUE(LEFT(H144,1))&gt;=4,"Potential Loyalists",
  VALUE(RIGHT(H144,2))&gt;=45,"New Customers",
  VALUE(LEFT(H144,1))&lt;=2,"At Risk",
  VALUE(LEFT(H144,1))&lt;=1,"Can't Lose",
  TRUE,"Others"
)</f>
        <v>Potential Loyalists</v>
      </c>
    </row>
    <row r="145" spans="1:9" x14ac:dyDescent="0.35">
      <c r="A145" t="str">
        <v>CUST0185</v>
      </c>
      <c r="B145" s="3">
        <f ca="1">TODAY()-Sheet1!B145</f>
        <v>54</v>
      </c>
      <c r="C145" s="3">
        <f>COUNTIFS(Sheet1!A145:A1144,A145)</f>
        <v>5</v>
      </c>
      <c r="D145" s="4">
        <v>6556.28</v>
      </c>
      <c r="E145" cm="1">
        <f t="array" aca="1" ref="E145" ca="1">_xlfn.IFS(B145&lt;=30,5,B145&lt;=60,4,B145&lt;=90,3,B145&lt;=120,2,TRUE,1)</f>
        <v>4</v>
      </c>
      <c r="F145" cm="1">
        <f t="array" ref="F145">_xlfn.IFS(C145&gt;=8,5,C145&gt;=5,4,C145&gt;=3,3,C145&gt;=2,2,TRUE,1)</f>
        <v>4</v>
      </c>
      <c r="G145" cm="1">
        <f t="array" ref="G145">_xlfn.IFS(D145&gt;=15000,5,D145&gt;=8000,4,D145&gt;=3000,3,D145&gt;=1000,2,TRUE,1)</f>
        <v>3</v>
      </c>
      <c r="H145" t="str">
        <f t="shared" ca="1" si="2"/>
        <v>443</v>
      </c>
      <c r="I145" t="str" cm="1">
        <f t="array" aca="1" ref="I145" ca="1">_xlfn.IFS(
  H145="555","Champions",
  VALUE(LEFT(H145,2))&gt;=54,"Loyal Customers",
  VALUE(LEFT(H145,1))&gt;=4,"Potential Loyalists",
  VALUE(RIGHT(H145,2))&gt;=45,"New Customers",
  VALUE(LEFT(H145,1))&lt;=2,"At Risk",
  VALUE(LEFT(H145,1))&lt;=1,"Can't Lose",
  TRUE,"Others"
)</f>
        <v>Potential Loyalists</v>
      </c>
    </row>
    <row r="146" spans="1:9" x14ac:dyDescent="0.35">
      <c r="A146" t="str">
        <v>CUST0114</v>
      </c>
      <c r="B146" s="3">
        <f ca="1">TODAY()-Sheet1!B146</f>
        <v>52</v>
      </c>
      <c r="C146" s="3">
        <f>COUNTIFS(Sheet1!A146:A1145,A146)</f>
        <v>8</v>
      </c>
      <c r="D146" s="4">
        <v>13483.550000000001</v>
      </c>
      <c r="E146" cm="1">
        <f t="array" aca="1" ref="E146" ca="1">_xlfn.IFS(B146&lt;=30,5,B146&lt;=60,4,B146&lt;=90,3,B146&lt;=120,2,TRUE,1)</f>
        <v>4</v>
      </c>
      <c r="F146" cm="1">
        <f t="array" ref="F146">_xlfn.IFS(C146&gt;=8,5,C146&gt;=5,4,C146&gt;=3,3,C146&gt;=2,2,TRUE,1)</f>
        <v>5</v>
      </c>
      <c r="G146" cm="1">
        <f t="array" ref="G146">_xlfn.IFS(D146&gt;=15000,5,D146&gt;=8000,4,D146&gt;=3000,3,D146&gt;=1000,2,TRUE,1)</f>
        <v>4</v>
      </c>
      <c r="H146" t="str">
        <f t="shared" ca="1" si="2"/>
        <v>454</v>
      </c>
      <c r="I146" t="str" cm="1">
        <f t="array" aca="1" ref="I146" ca="1">_xlfn.IFS(
  H146="555","Champions",
  VALUE(LEFT(H146,2))&gt;=54,"Loyal Customers",
  VALUE(LEFT(H146,1))&gt;=4,"Potential Loyalists",
  VALUE(RIGHT(H146,2))&gt;=45,"New Customers",
  VALUE(LEFT(H146,1))&lt;=2,"At Risk",
  VALUE(LEFT(H146,1))&lt;=1,"Can't Lose",
  TRUE,"Others"
)</f>
        <v>Potential Loyalists</v>
      </c>
    </row>
    <row r="147" spans="1:9" x14ac:dyDescent="0.35">
      <c r="A147" t="str">
        <v>CUST0137</v>
      </c>
      <c r="B147" s="3">
        <f ca="1">TODAY()-Sheet1!B147</f>
        <v>59</v>
      </c>
      <c r="C147" s="3">
        <f>COUNTIFS(Sheet1!A147:A1146,A147)</f>
        <v>2</v>
      </c>
      <c r="D147" s="4">
        <v>16638.96</v>
      </c>
      <c r="E147" cm="1">
        <f t="array" aca="1" ref="E147" ca="1">_xlfn.IFS(B147&lt;=30,5,B147&lt;=60,4,B147&lt;=90,3,B147&lt;=120,2,TRUE,1)</f>
        <v>4</v>
      </c>
      <c r="F147" cm="1">
        <f t="array" ref="F147">_xlfn.IFS(C147&gt;=8,5,C147&gt;=5,4,C147&gt;=3,3,C147&gt;=2,2,TRUE,1)</f>
        <v>2</v>
      </c>
      <c r="G147" cm="1">
        <f t="array" ref="G147">_xlfn.IFS(D147&gt;=15000,5,D147&gt;=8000,4,D147&gt;=3000,3,D147&gt;=1000,2,TRUE,1)</f>
        <v>5</v>
      </c>
      <c r="H147" t="str">
        <f t="shared" ca="1" si="2"/>
        <v>425</v>
      </c>
      <c r="I147" t="str" cm="1">
        <f t="array" aca="1" ref="I147" ca="1">_xlfn.IFS(
  H147="555","Champions",
  VALUE(LEFT(H147,2))&gt;=54,"Loyal Customers",
  VALUE(LEFT(H147,1))&gt;=4,"Potential Loyalists",
  VALUE(RIGHT(H147,2))&gt;=45,"New Customers",
  VALUE(LEFT(H147,1))&lt;=2,"At Risk",
  VALUE(LEFT(H147,1))&lt;=1,"Can't Lose",
  TRUE,"Others"
)</f>
        <v>Potential Loyalists</v>
      </c>
    </row>
    <row r="148" spans="1:9" x14ac:dyDescent="0.35">
      <c r="A148" t="str">
        <v>CUST0162</v>
      </c>
      <c r="B148" s="3">
        <f ca="1">TODAY()-Sheet1!B148</f>
        <v>84</v>
      </c>
      <c r="C148" s="3">
        <f>COUNTIFS(Sheet1!A148:A1147,A148)</f>
        <v>5</v>
      </c>
      <c r="D148" s="4">
        <v>19032.550000000003</v>
      </c>
      <c r="E148" cm="1">
        <f t="array" aca="1" ref="E148" ca="1">_xlfn.IFS(B148&lt;=30,5,B148&lt;=60,4,B148&lt;=90,3,B148&lt;=120,2,TRUE,1)</f>
        <v>3</v>
      </c>
      <c r="F148" cm="1">
        <f t="array" ref="F148">_xlfn.IFS(C148&gt;=8,5,C148&gt;=5,4,C148&gt;=3,3,C148&gt;=2,2,TRUE,1)</f>
        <v>4</v>
      </c>
      <c r="G148" cm="1">
        <f t="array" ref="G148">_xlfn.IFS(D148&gt;=15000,5,D148&gt;=8000,4,D148&gt;=3000,3,D148&gt;=1000,2,TRUE,1)</f>
        <v>5</v>
      </c>
      <c r="H148" t="str">
        <f t="shared" ca="1" si="2"/>
        <v>345</v>
      </c>
      <c r="I148" t="str" cm="1">
        <f t="array" aca="1" ref="I148" ca="1">_xlfn.IFS(
  H148="555","Champions",
  VALUE(LEFT(H148,2))&gt;=54,"Loyal Customers",
  VALUE(LEFT(H148,1))&gt;=4,"Potential Loyalists",
  VALUE(RIGHT(H148,2))&gt;=45,"New Customers",
  VALUE(LEFT(H148,1))&lt;=2,"At Risk",
  VALUE(LEFT(H148,1))&lt;=1,"Can't Lose",
  TRUE,"Others"
)</f>
        <v>New Customers</v>
      </c>
    </row>
    <row r="149" spans="1:9" x14ac:dyDescent="0.35">
      <c r="A149" t="str">
        <v>CUST0004</v>
      </c>
      <c r="B149" s="3">
        <f ca="1">TODAY()-Sheet1!B149</f>
        <v>64</v>
      </c>
      <c r="C149" s="3">
        <f>COUNTIFS(Sheet1!A149:A1148,A149)</f>
        <v>3</v>
      </c>
      <c r="D149" s="4">
        <v>22333.059999999998</v>
      </c>
      <c r="E149" cm="1">
        <f t="array" aca="1" ref="E149" ca="1">_xlfn.IFS(B149&lt;=30,5,B149&lt;=60,4,B149&lt;=90,3,B149&lt;=120,2,TRUE,1)</f>
        <v>3</v>
      </c>
      <c r="F149" cm="1">
        <f t="array" ref="F149">_xlfn.IFS(C149&gt;=8,5,C149&gt;=5,4,C149&gt;=3,3,C149&gt;=2,2,TRUE,1)</f>
        <v>3</v>
      </c>
      <c r="G149" cm="1">
        <f t="array" ref="G149">_xlfn.IFS(D149&gt;=15000,5,D149&gt;=8000,4,D149&gt;=3000,3,D149&gt;=1000,2,TRUE,1)</f>
        <v>5</v>
      </c>
      <c r="H149" t="str">
        <f t="shared" ca="1" si="2"/>
        <v>335</v>
      </c>
      <c r="I149" t="str" cm="1">
        <f t="array" aca="1" ref="I149" ca="1">_xlfn.IFS(
  H149="555","Champions",
  VALUE(LEFT(H149,2))&gt;=54,"Loyal Customers",
  VALUE(LEFT(H149,1))&gt;=4,"Potential Loyalists",
  VALUE(RIGHT(H149,2))&gt;=45,"New Customers",
  VALUE(LEFT(H149,1))&lt;=2,"At Risk",
  VALUE(LEFT(H149,1))&lt;=1,"Can't Lose",
  TRUE,"Others"
)</f>
        <v>Others</v>
      </c>
    </row>
    <row r="150" spans="1:9" x14ac:dyDescent="0.35">
      <c r="A150" t="str">
        <v>CUST0061</v>
      </c>
      <c r="B150" s="3">
        <f ca="1">TODAY()-Sheet1!B150</f>
        <v>25</v>
      </c>
      <c r="C150" s="3">
        <f>COUNTIFS(Sheet1!A150:A1149,A150)</f>
        <v>4</v>
      </c>
      <c r="D150" s="4">
        <v>2400.79</v>
      </c>
      <c r="E150" cm="1">
        <f t="array" aca="1" ref="E150" ca="1">_xlfn.IFS(B150&lt;=30,5,B150&lt;=60,4,B150&lt;=90,3,B150&lt;=120,2,TRUE,1)</f>
        <v>5</v>
      </c>
      <c r="F150" cm="1">
        <f t="array" ref="F150">_xlfn.IFS(C150&gt;=8,5,C150&gt;=5,4,C150&gt;=3,3,C150&gt;=2,2,TRUE,1)</f>
        <v>3</v>
      </c>
      <c r="G150" cm="1">
        <f t="array" ref="G150">_xlfn.IFS(D150&gt;=15000,5,D150&gt;=8000,4,D150&gt;=3000,3,D150&gt;=1000,2,TRUE,1)</f>
        <v>2</v>
      </c>
      <c r="H150" t="str">
        <f t="shared" ca="1" si="2"/>
        <v>532</v>
      </c>
      <c r="I150" t="str" cm="1">
        <f t="array" aca="1" ref="I150" ca="1">_xlfn.IFS(
  H150="555","Champions",
  VALUE(LEFT(H150,2))&gt;=54,"Loyal Customers",
  VALUE(LEFT(H150,1))&gt;=4,"Potential Loyalists",
  VALUE(RIGHT(H150,2))&gt;=45,"New Customers",
  VALUE(LEFT(H150,1))&lt;=2,"At Risk",
  VALUE(LEFT(H150,1))&lt;=1,"Can't Lose",
  TRUE,"Others"
)</f>
        <v>Potential Loyalists</v>
      </c>
    </row>
    <row r="151" spans="1:9" x14ac:dyDescent="0.35">
      <c r="A151" t="str">
        <v>CUST0145</v>
      </c>
      <c r="B151" s="3">
        <f ca="1">TODAY()-Sheet1!B151</f>
        <v>81</v>
      </c>
      <c r="C151" s="3">
        <f>COUNTIFS(Sheet1!A151:A1150,A151)</f>
        <v>6</v>
      </c>
      <c r="D151" s="4">
        <v>5486.38</v>
      </c>
      <c r="E151" cm="1">
        <f t="array" aca="1" ref="E151" ca="1">_xlfn.IFS(B151&lt;=30,5,B151&lt;=60,4,B151&lt;=90,3,B151&lt;=120,2,TRUE,1)</f>
        <v>3</v>
      </c>
      <c r="F151" cm="1">
        <f t="array" ref="F151">_xlfn.IFS(C151&gt;=8,5,C151&gt;=5,4,C151&gt;=3,3,C151&gt;=2,2,TRUE,1)</f>
        <v>4</v>
      </c>
      <c r="G151" cm="1">
        <f t="array" ref="G151">_xlfn.IFS(D151&gt;=15000,5,D151&gt;=8000,4,D151&gt;=3000,3,D151&gt;=1000,2,TRUE,1)</f>
        <v>3</v>
      </c>
      <c r="H151" t="str">
        <f t="shared" ca="1" si="2"/>
        <v>343</v>
      </c>
      <c r="I151" t="str" cm="1">
        <f t="array" aca="1" ref="I151" ca="1">_xlfn.IFS(
  H151="555","Champions",
  VALUE(LEFT(H151,2))&gt;=54,"Loyal Customers",
  VALUE(LEFT(H151,1))&gt;=4,"Potential Loyalists",
  VALUE(RIGHT(H151,2))&gt;=45,"New Customers",
  VALUE(LEFT(H151,1))&lt;=2,"At Risk",
  VALUE(LEFT(H151,1))&lt;=1,"Can't Lose",
  TRUE,"Others"
)</f>
        <v>Others</v>
      </c>
    </row>
    <row r="152" spans="1:9" x14ac:dyDescent="0.35">
      <c r="A152" t="str">
        <v>CUST0054</v>
      </c>
      <c r="B152" s="3">
        <f ca="1">TODAY()-Sheet1!B152</f>
        <v>77</v>
      </c>
      <c r="C152" s="3">
        <f>COUNTIFS(Sheet1!A152:A1151,A152)</f>
        <v>4</v>
      </c>
      <c r="D152" s="4">
        <v>20123.800000000003</v>
      </c>
      <c r="E152" cm="1">
        <f t="array" aca="1" ref="E152" ca="1">_xlfn.IFS(B152&lt;=30,5,B152&lt;=60,4,B152&lt;=90,3,B152&lt;=120,2,TRUE,1)</f>
        <v>3</v>
      </c>
      <c r="F152" cm="1">
        <f t="array" ref="F152">_xlfn.IFS(C152&gt;=8,5,C152&gt;=5,4,C152&gt;=3,3,C152&gt;=2,2,TRUE,1)</f>
        <v>3</v>
      </c>
      <c r="G152" cm="1">
        <f t="array" ref="G152">_xlfn.IFS(D152&gt;=15000,5,D152&gt;=8000,4,D152&gt;=3000,3,D152&gt;=1000,2,TRUE,1)</f>
        <v>5</v>
      </c>
      <c r="H152" t="str">
        <f t="shared" ca="1" si="2"/>
        <v>335</v>
      </c>
      <c r="I152" t="str" cm="1">
        <f t="array" aca="1" ref="I152" ca="1">_xlfn.IFS(
  H152="555","Champions",
  VALUE(LEFT(H152,2))&gt;=54,"Loyal Customers",
  VALUE(LEFT(H152,1))&gt;=4,"Potential Loyalists",
  VALUE(RIGHT(H152,2))&gt;=45,"New Customers",
  VALUE(LEFT(H152,1))&lt;=2,"At Risk",
  VALUE(LEFT(H152,1))&lt;=1,"Can't Lose",
  TRUE,"Others"
)</f>
        <v>Others</v>
      </c>
    </row>
    <row r="153" spans="1:9" x14ac:dyDescent="0.35">
      <c r="A153" t="str">
        <v>CUST0118</v>
      </c>
      <c r="B153" s="3">
        <f ca="1">TODAY()-Sheet1!B153</f>
        <v>34</v>
      </c>
      <c r="C153" s="3">
        <f>COUNTIFS(Sheet1!A153:A1152,A153)</f>
        <v>7</v>
      </c>
      <c r="D153" s="4">
        <v>17663.25</v>
      </c>
      <c r="E153" cm="1">
        <f t="array" aca="1" ref="E153" ca="1">_xlfn.IFS(B153&lt;=30,5,B153&lt;=60,4,B153&lt;=90,3,B153&lt;=120,2,TRUE,1)</f>
        <v>4</v>
      </c>
      <c r="F153" cm="1">
        <f t="array" ref="F153">_xlfn.IFS(C153&gt;=8,5,C153&gt;=5,4,C153&gt;=3,3,C153&gt;=2,2,TRUE,1)</f>
        <v>4</v>
      </c>
      <c r="G153" cm="1">
        <f t="array" ref="G153">_xlfn.IFS(D153&gt;=15000,5,D153&gt;=8000,4,D153&gt;=3000,3,D153&gt;=1000,2,TRUE,1)</f>
        <v>5</v>
      </c>
      <c r="H153" t="str">
        <f t="shared" ca="1" si="2"/>
        <v>445</v>
      </c>
      <c r="I153" t="str" cm="1">
        <f t="array" aca="1" ref="I153" ca="1">_xlfn.IFS(
  H153="555","Champions",
  VALUE(LEFT(H153,2))&gt;=54,"Loyal Customers",
  VALUE(LEFT(H153,1))&gt;=4,"Potential Loyalists",
  VALUE(RIGHT(H153,2))&gt;=45,"New Customers",
  VALUE(LEFT(H153,1))&lt;=2,"At Risk",
  VALUE(LEFT(H153,1))&lt;=1,"Can't Lose",
  TRUE,"Others"
)</f>
        <v>Potential Loyalists</v>
      </c>
    </row>
    <row r="154" spans="1:9" x14ac:dyDescent="0.35">
      <c r="A154" t="str">
        <v>CUST0059</v>
      </c>
      <c r="B154" s="3">
        <f ca="1">TODAY()-Sheet1!B154</f>
        <v>66</v>
      </c>
      <c r="C154" s="3">
        <f>COUNTIFS(Sheet1!A154:A1153,A154)</f>
        <v>5</v>
      </c>
      <c r="D154" s="4">
        <v>15996.11</v>
      </c>
      <c r="E154" cm="1">
        <f t="array" aca="1" ref="E154" ca="1">_xlfn.IFS(B154&lt;=30,5,B154&lt;=60,4,B154&lt;=90,3,B154&lt;=120,2,TRUE,1)</f>
        <v>3</v>
      </c>
      <c r="F154" cm="1">
        <f t="array" ref="F154">_xlfn.IFS(C154&gt;=8,5,C154&gt;=5,4,C154&gt;=3,3,C154&gt;=2,2,TRUE,1)</f>
        <v>4</v>
      </c>
      <c r="G154" cm="1">
        <f t="array" ref="G154">_xlfn.IFS(D154&gt;=15000,5,D154&gt;=8000,4,D154&gt;=3000,3,D154&gt;=1000,2,TRUE,1)</f>
        <v>5</v>
      </c>
      <c r="H154" t="str">
        <f t="shared" ca="1" si="2"/>
        <v>345</v>
      </c>
      <c r="I154" t="str" cm="1">
        <f t="array" aca="1" ref="I154" ca="1">_xlfn.IFS(
  H154="555","Champions",
  VALUE(LEFT(H154,2))&gt;=54,"Loyal Customers",
  VALUE(LEFT(H154,1))&gt;=4,"Potential Loyalists",
  VALUE(RIGHT(H154,2))&gt;=45,"New Customers",
  VALUE(LEFT(H154,1))&lt;=2,"At Risk",
  VALUE(LEFT(H154,1))&lt;=1,"Can't Lose",
  TRUE,"Others"
)</f>
        <v>New Customers</v>
      </c>
    </row>
    <row r="155" spans="1:9" x14ac:dyDescent="0.35">
      <c r="A155" t="str">
        <v>CUST0067</v>
      </c>
      <c r="B155" s="3">
        <f ca="1">TODAY()-Sheet1!B155</f>
        <v>80</v>
      </c>
      <c r="C155" s="3">
        <f>COUNTIFS(Sheet1!A155:A1154,A155)</f>
        <v>3</v>
      </c>
      <c r="D155" s="4">
        <v>4575.12</v>
      </c>
      <c r="E155" cm="1">
        <f t="array" aca="1" ref="E155" ca="1">_xlfn.IFS(B155&lt;=30,5,B155&lt;=60,4,B155&lt;=90,3,B155&lt;=120,2,TRUE,1)</f>
        <v>3</v>
      </c>
      <c r="F155" cm="1">
        <f t="array" ref="F155">_xlfn.IFS(C155&gt;=8,5,C155&gt;=5,4,C155&gt;=3,3,C155&gt;=2,2,TRUE,1)</f>
        <v>3</v>
      </c>
      <c r="G155" cm="1">
        <f t="array" ref="G155">_xlfn.IFS(D155&gt;=15000,5,D155&gt;=8000,4,D155&gt;=3000,3,D155&gt;=1000,2,TRUE,1)</f>
        <v>3</v>
      </c>
      <c r="H155" t="str">
        <f t="shared" ca="1" si="2"/>
        <v>333</v>
      </c>
      <c r="I155" t="str" cm="1">
        <f t="array" aca="1" ref="I155" ca="1">_xlfn.IFS(
  H155="555","Champions",
  VALUE(LEFT(H155,2))&gt;=54,"Loyal Customers",
  VALUE(LEFT(H155,1))&gt;=4,"Potential Loyalists",
  VALUE(RIGHT(H155,2))&gt;=45,"New Customers",
  VALUE(LEFT(H155,1))&lt;=2,"At Risk",
  VALUE(LEFT(H155,1))&lt;=1,"Can't Lose",
  TRUE,"Others"
)</f>
        <v>Others</v>
      </c>
    </row>
    <row r="156" spans="1:9" x14ac:dyDescent="0.35">
      <c r="A156" t="str">
        <v>CUST0197</v>
      </c>
      <c r="B156" s="3">
        <f ca="1">TODAY()-Sheet1!B156</f>
        <v>74</v>
      </c>
      <c r="C156" s="3">
        <f>COUNTIFS(Sheet1!A156:A1155,A156)</f>
        <v>7</v>
      </c>
      <c r="D156" s="4">
        <v>8247.0400000000009</v>
      </c>
      <c r="E156" cm="1">
        <f t="array" aca="1" ref="E156" ca="1">_xlfn.IFS(B156&lt;=30,5,B156&lt;=60,4,B156&lt;=90,3,B156&lt;=120,2,TRUE,1)</f>
        <v>3</v>
      </c>
      <c r="F156" cm="1">
        <f t="array" ref="F156">_xlfn.IFS(C156&gt;=8,5,C156&gt;=5,4,C156&gt;=3,3,C156&gt;=2,2,TRUE,1)</f>
        <v>4</v>
      </c>
      <c r="G156" cm="1">
        <f t="array" ref="G156">_xlfn.IFS(D156&gt;=15000,5,D156&gt;=8000,4,D156&gt;=3000,3,D156&gt;=1000,2,TRUE,1)</f>
        <v>4</v>
      </c>
      <c r="H156" t="str">
        <f t="shared" ca="1" si="2"/>
        <v>344</v>
      </c>
      <c r="I156" t="str" cm="1">
        <f t="array" aca="1" ref="I156" ca="1">_xlfn.IFS(
  H156="555","Champions",
  VALUE(LEFT(H156,2))&gt;=54,"Loyal Customers",
  VALUE(LEFT(H156,1))&gt;=4,"Potential Loyalists",
  VALUE(RIGHT(H156,2))&gt;=45,"New Customers",
  VALUE(LEFT(H156,1))&lt;=2,"At Risk",
  VALUE(LEFT(H156,1))&lt;=1,"Can't Lose",
  TRUE,"Others"
)</f>
        <v>Others</v>
      </c>
    </row>
    <row r="157" spans="1:9" x14ac:dyDescent="0.35">
      <c r="A157" t="str">
        <v>CUST0186</v>
      </c>
      <c r="B157" s="3">
        <f ca="1">TODAY()-Sheet1!B157</f>
        <v>75</v>
      </c>
      <c r="C157" s="3">
        <f>COUNTIFS(Sheet1!A157:A1156,A157)</f>
        <v>3</v>
      </c>
      <c r="D157" s="4">
        <v>7842.8499999999995</v>
      </c>
      <c r="E157" cm="1">
        <f t="array" aca="1" ref="E157" ca="1">_xlfn.IFS(B157&lt;=30,5,B157&lt;=60,4,B157&lt;=90,3,B157&lt;=120,2,TRUE,1)</f>
        <v>3</v>
      </c>
      <c r="F157" cm="1">
        <f t="array" ref="F157">_xlfn.IFS(C157&gt;=8,5,C157&gt;=5,4,C157&gt;=3,3,C157&gt;=2,2,TRUE,1)</f>
        <v>3</v>
      </c>
      <c r="G157" cm="1">
        <f t="array" ref="G157">_xlfn.IFS(D157&gt;=15000,5,D157&gt;=8000,4,D157&gt;=3000,3,D157&gt;=1000,2,TRUE,1)</f>
        <v>3</v>
      </c>
      <c r="H157" t="str">
        <f t="shared" ca="1" si="2"/>
        <v>333</v>
      </c>
      <c r="I157" t="str" cm="1">
        <f t="array" aca="1" ref="I157" ca="1">_xlfn.IFS(
  H157="555","Champions",
  VALUE(LEFT(H157,2))&gt;=54,"Loyal Customers",
  VALUE(LEFT(H157,1))&gt;=4,"Potential Loyalists",
  VALUE(RIGHT(H157,2))&gt;=45,"New Customers",
  VALUE(LEFT(H157,1))&lt;=2,"At Risk",
  VALUE(LEFT(H157,1))&lt;=1,"Can't Lose",
  TRUE,"Others"
)</f>
        <v>Others</v>
      </c>
    </row>
    <row r="158" spans="1:9" x14ac:dyDescent="0.35">
      <c r="A158" t="str">
        <v>CUST0164</v>
      </c>
      <c r="B158" s="3">
        <f ca="1">TODAY()-Sheet1!B158</f>
        <v>68</v>
      </c>
      <c r="C158" s="3">
        <f>COUNTIFS(Sheet1!A158:A1157,A158)</f>
        <v>4</v>
      </c>
      <c r="D158" s="4">
        <v>11840.240000000002</v>
      </c>
      <c r="E158" cm="1">
        <f t="array" aca="1" ref="E158" ca="1">_xlfn.IFS(B158&lt;=30,5,B158&lt;=60,4,B158&lt;=90,3,B158&lt;=120,2,TRUE,1)</f>
        <v>3</v>
      </c>
      <c r="F158" cm="1">
        <f t="array" ref="F158">_xlfn.IFS(C158&gt;=8,5,C158&gt;=5,4,C158&gt;=3,3,C158&gt;=2,2,TRUE,1)</f>
        <v>3</v>
      </c>
      <c r="G158" cm="1">
        <f t="array" ref="G158">_xlfn.IFS(D158&gt;=15000,5,D158&gt;=8000,4,D158&gt;=3000,3,D158&gt;=1000,2,TRUE,1)</f>
        <v>4</v>
      </c>
      <c r="H158" t="str">
        <f t="shared" ca="1" si="2"/>
        <v>334</v>
      </c>
      <c r="I158" t="str" cm="1">
        <f t="array" aca="1" ref="I158" ca="1">_xlfn.IFS(
  H158="555","Champions",
  VALUE(LEFT(H158,2))&gt;=54,"Loyal Customers",
  VALUE(LEFT(H158,1))&gt;=4,"Potential Loyalists",
  VALUE(RIGHT(H158,2))&gt;=45,"New Customers",
  VALUE(LEFT(H158,1))&lt;=2,"At Risk",
  VALUE(LEFT(H158,1))&lt;=1,"Can't Lose",
  TRUE,"Others"
)</f>
        <v>Others</v>
      </c>
    </row>
    <row r="159" spans="1:9" x14ac:dyDescent="0.35">
      <c r="A159" t="str">
        <v>CUST0045</v>
      </c>
      <c r="B159" s="3">
        <f ca="1">TODAY()-Sheet1!B159</f>
        <v>8</v>
      </c>
      <c r="C159" s="3">
        <f>COUNTIFS(Sheet1!A159:A1158,A159)</f>
        <v>4</v>
      </c>
      <c r="D159" s="4">
        <v>23856.449999999997</v>
      </c>
      <c r="E159" cm="1">
        <f t="array" aca="1" ref="E159" ca="1">_xlfn.IFS(B159&lt;=30,5,B159&lt;=60,4,B159&lt;=90,3,B159&lt;=120,2,TRUE,1)</f>
        <v>5</v>
      </c>
      <c r="F159" cm="1">
        <f t="array" ref="F159">_xlfn.IFS(C159&gt;=8,5,C159&gt;=5,4,C159&gt;=3,3,C159&gt;=2,2,TRUE,1)</f>
        <v>3</v>
      </c>
      <c r="G159" cm="1">
        <f t="array" ref="G159">_xlfn.IFS(D159&gt;=15000,5,D159&gt;=8000,4,D159&gt;=3000,3,D159&gt;=1000,2,TRUE,1)</f>
        <v>5</v>
      </c>
      <c r="H159" t="str">
        <f t="shared" ca="1" si="2"/>
        <v>535</v>
      </c>
      <c r="I159" t="str" cm="1">
        <f t="array" aca="1" ref="I159" ca="1">_xlfn.IFS(
  H159="555","Champions",
  VALUE(LEFT(H159,2))&gt;=54,"Loyal Customers",
  VALUE(LEFT(H159,1))&gt;=4,"Potential Loyalists",
  VALUE(RIGHT(H159,2))&gt;=45,"New Customers",
  VALUE(LEFT(H159,1))&lt;=2,"At Risk",
  VALUE(LEFT(H159,1))&lt;=1,"Can't Lose",
  TRUE,"Others"
)</f>
        <v>Potential Loyalists</v>
      </c>
    </row>
    <row r="160" spans="1:9" x14ac:dyDescent="0.35">
      <c r="A160" t="str">
        <v>CUST0024</v>
      </c>
      <c r="B160" s="3">
        <f ca="1">TODAY()-Sheet1!B160</f>
        <v>103</v>
      </c>
      <c r="C160" s="3">
        <f>COUNTIFS(Sheet1!A160:A1159,A160)</f>
        <v>8</v>
      </c>
      <c r="D160" s="4">
        <v>10530.79</v>
      </c>
      <c r="E160" cm="1">
        <f t="array" aca="1" ref="E160" ca="1">_xlfn.IFS(B160&lt;=30,5,B160&lt;=60,4,B160&lt;=90,3,B160&lt;=120,2,TRUE,1)</f>
        <v>2</v>
      </c>
      <c r="F160" cm="1">
        <f t="array" ref="F160">_xlfn.IFS(C160&gt;=8,5,C160&gt;=5,4,C160&gt;=3,3,C160&gt;=2,2,TRUE,1)</f>
        <v>5</v>
      </c>
      <c r="G160" cm="1">
        <f t="array" ref="G160">_xlfn.IFS(D160&gt;=15000,5,D160&gt;=8000,4,D160&gt;=3000,3,D160&gt;=1000,2,TRUE,1)</f>
        <v>4</v>
      </c>
      <c r="H160" t="str">
        <f t="shared" ca="1" si="2"/>
        <v>254</v>
      </c>
      <c r="I160" t="str" cm="1">
        <f t="array" aca="1" ref="I160" ca="1">_xlfn.IFS(
  H160="555","Champions",
  VALUE(LEFT(H160,2))&gt;=54,"Loyal Customers",
  VALUE(LEFT(H160,1))&gt;=4,"Potential Loyalists",
  VALUE(RIGHT(H160,2))&gt;=45,"New Customers",
  VALUE(LEFT(H160,1))&lt;=2,"At Risk",
  VALUE(LEFT(H160,1))&lt;=1,"Can't Lose",
  TRUE,"Others"
)</f>
        <v>New Customers</v>
      </c>
    </row>
    <row r="161" spans="1:9" x14ac:dyDescent="0.35">
      <c r="A161" t="str">
        <v>CUST0099</v>
      </c>
      <c r="B161" s="3">
        <f ca="1">TODAY()-Sheet1!B161</f>
        <v>90</v>
      </c>
      <c r="C161" s="3">
        <f>COUNTIFS(Sheet1!A161:A1160,A161)</f>
        <v>4</v>
      </c>
      <c r="D161" s="4">
        <v>12701.349999999999</v>
      </c>
      <c r="E161" cm="1">
        <f t="array" aca="1" ref="E161" ca="1">_xlfn.IFS(B161&lt;=30,5,B161&lt;=60,4,B161&lt;=90,3,B161&lt;=120,2,TRUE,1)</f>
        <v>3</v>
      </c>
      <c r="F161" cm="1">
        <f t="array" ref="F161">_xlfn.IFS(C161&gt;=8,5,C161&gt;=5,4,C161&gt;=3,3,C161&gt;=2,2,TRUE,1)</f>
        <v>3</v>
      </c>
      <c r="G161" cm="1">
        <f t="array" ref="G161">_xlfn.IFS(D161&gt;=15000,5,D161&gt;=8000,4,D161&gt;=3000,3,D161&gt;=1000,2,TRUE,1)</f>
        <v>4</v>
      </c>
      <c r="H161" t="str">
        <f t="shared" ca="1" si="2"/>
        <v>334</v>
      </c>
      <c r="I161" t="str" cm="1">
        <f t="array" aca="1" ref="I161" ca="1">_xlfn.IFS(
  H161="555","Champions",
  VALUE(LEFT(H161,2))&gt;=54,"Loyal Customers",
  VALUE(LEFT(H161,1))&gt;=4,"Potential Loyalists",
  VALUE(RIGHT(H161,2))&gt;=45,"New Customers",
  VALUE(LEFT(H161,1))&lt;=2,"At Risk",
  VALUE(LEFT(H161,1))&lt;=1,"Can't Lose",
  TRUE,"Others"
)</f>
        <v>Others</v>
      </c>
    </row>
    <row r="162" spans="1:9" x14ac:dyDescent="0.35">
      <c r="A162" t="str">
        <v>CUST0065</v>
      </c>
      <c r="B162" s="3">
        <f ca="1">TODAY()-Sheet1!B162</f>
        <v>48</v>
      </c>
      <c r="C162" s="3">
        <f>COUNTIFS(Sheet1!A162:A1161,A162)</f>
        <v>6</v>
      </c>
      <c r="D162" s="4">
        <v>7998.47</v>
      </c>
      <c r="E162" cm="1">
        <f t="array" aca="1" ref="E162" ca="1">_xlfn.IFS(B162&lt;=30,5,B162&lt;=60,4,B162&lt;=90,3,B162&lt;=120,2,TRUE,1)</f>
        <v>4</v>
      </c>
      <c r="F162" cm="1">
        <f t="array" ref="F162">_xlfn.IFS(C162&gt;=8,5,C162&gt;=5,4,C162&gt;=3,3,C162&gt;=2,2,TRUE,1)</f>
        <v>4</v>
      </c>
      <c r="G162" cm="1">
        <f t="array" ref="G162">_xlfn.IFS(D162&gt;=15000,5,D162&gt;=8000,4,D162&gt;=3000,3,D162&gt;=1000,2,TRUE,1)</f>
        <v>3</v>
      </c>
      <c r="H162" t="str">
        <f t="shared" ca="1" si="2"/>
        <v>443</v>
      </c>
      <c r="I162" t="str" cm="1">
        <f t="array" aca="1" ref="I162" ca="1">_xlfn.IFS(
  H162="555","Champions",
  VALUE(LEFT(H162,2))&gt;=54,"Loyal Customers",
  VALUE(LEFT(H162,1))&gt;=4,"Potential Loyalists",
  VALUE(RIGHT(H162,2))&gt;=45,"New Customers",
  VALUE(LEFT(H162,1))&lt;=2,"At Risk",
  VALUE(LEFT(H162,1))&lt;=1,"Can't Lose",
  TRUE,"Others"
)</f>
        <v>Potential Loyalists</v>
      </c>
    </row>
    <row r="163" spans="1:9" x14ac:dyDescent="0.35">
      <c r="A163" t="str">
        <v>CUST0172</v>
      </c>
      <c r="B163" s="3">
        <f ca="1">TODAY()-Sheet1!B163</f>
        <v>48</v>
      </c>
      <c r="C163" s="3">
        <f>COUNTIFS(Sheet1!A163:A1162,A163)</f>
        <v>9</v>
      </c>
      <c r="D163" s="4">
        <v>3143.04</v>
      </c>
      <c r="E163" cm="1">
        <f t="array" aca="1" ref="E163" ca="1">_xlfn.IFS(B163&lt;=30,5,B163&lt;=60,4,B163&lt;=90,3,B163&lt;=120,2,TRUE,1)</f>
        <v>4</v>
      </c>
      <c r="F163" cm="1">
        <f t="array" ref="F163">_xlfn.IFS(C163&gt;=8,5,C163&gt;=5,4,C163&gt;=3,3,C163&gt;=2,2,TRUE,1)</f>
        <v>5</v>
      </c>
      <c r="G163" cm="1">
        <f t="array" ref="G163">_xlfn.IFS(D163&gt;=15000,5,D163&gt;=8000,4,D163&gt;=3000,3,D163&gt;=1000,2,TRUE,1)</f>
        <v>3</v>
      </c>
      <c r="H163" t="str">
        <f t="shared" ca="1" si="2"/>
        <v>453</v>
      </c>
      <c r="I163" t="str" cm="1">
        <f t="array" aca="1" ref="I163" ca="1">_xlfn.IFS(
  H163="555","Champions",
  VALUE(LEFT(H163,2))&gt;=54,"Loyal Customers",
  VALUE(LEFT(H163,1))&gt;=4,"Potential Loyalists",
  VALUE(RIGHT(H163,2))&gt;=45,"New Customers",
  VALUE(LEFT(H163,1))&lt;=2,"At Risk",
  VALUE(LEFT(H163,1))&lt;=1,"Can't Lose",
  TRUE,"Others"
)</f>
        <v>Potential Loyalists</v>
      </c>
    </row>
    <row r="164" spans="1:9" x14ac:dyDescent="0.35">
      <c r="A164" t="str">
        <v>CUST0050</v>
      </c>
      <c r="B164" s="3">
        <f ca="1">TODAY()-Sheet1!B164</f>
        <v>28</v>
      </c>
      <c r="C164" s="3">
        <f>COUNTIFS(Sheet1!A164:A1163,A164)</f>
        <v>3</v>
      </c>
      <c r="D164" s="4">
        <v>12234.82</v>
      </c>
      <c r="E164" cm="1">
        <f t="array" aca="1" ref="E164" ca="1">_xlfn.IFS(B164&lt;=30,5,B164&lt;=60,4,B164&lt;=90,3,B164&lt;=120,2,TRUE,1)</f>
        <v>5</v>
      </c>
      <c r="F164" cm="1">
        <f t="array" ref="F164">_xlfn.IFS(C164&gt;=8,5,C164&gt;=5,4,C164&gt;=3,3,C164&gt;=2,2,TRUE,1)</f>
        <v>3</v>
      </c>
      <c r="G164" cm="1">
        <f t="array" ref="G164">_xlfn.IFS(D164&gt;=15000,5,D164&gt;=8000,4,D164&gt;=3000,3,D164&gt;=1000,2,TRUE,1)</f>
        <v>4</v>
      </c>
      <c r="H164" t="str">
        <f t="shared" ca="1" si="2"/>
        <v>534</v>
      </c>
      <c r="I164" t="str" cm="1">
        <f t="array" aca="1" ref="I164" ca="1">_xlfn.IFS(
  H164="555","Champions",
  VALUE(LEFT(H164,2))&gt;=54,"Loyal Customers",
  VALUE(LEFT(H164,1))&gt;=4,"Potential Loyalists",
  VALUE(RIGHT(H164,2))&gt;=45,"New Customers",
  VALUE(LEFT(H164,1))&lt;=2,"At Risk",
  VALUE(LEFT(H164,1))&lt;=1,"Can't Lose",
  TRUE,"Others"
)</f>
        <v>Potential Loyalists</v>
      </c>
    </row>
    <row r="165" spans="1:9" x14ac:dyDescent="0.35">
      <c r="A165" t="str">
        <v>CUST0187</v>
      </c>
      <c r="B165" s="3">
        <f ca="1">TODAY()-Sheet1!B165</f>
        <v>86</v>
      </c>
      <c r="C165" s="3">
        <f>COUNTIFS(Sheet1!A165:A1164,A165)</f>
        <v>3</v>
      </c>
      <c r="D165" s="4">
        <v>12455.35</v>
      </c>
      <c r="E165" cm="1">
        <f t="array" aca="1" ref="E165" ca="1">_xlfn.IFS(B165&lt;=30,5,B165&lt;=60,4,B165&lt;=90,3,B165&lt;=120,2,TRUE,1)</f>
        <v>3</v>
      </c>
      <c r="F165" cm="1">
        <f t="array" ref="F165">_xlfn.IFS(C165&gt;=8,5,C165&gt;=5,4,C165&gt;=3,3,C165&gt;=2,2,TRUE,1)</f>
        <v>3</v>
      </c>
      <c r="G165" cm="1">
        <f t="array" ref="G165">_xlfn.IFS(D165&gt;=15000,5,D165&gt;=8000,4,D165&gt;=3000,3,D165&gt;=1000,2,TRUE,1)</f>
        <v>4</v>
      </c>
      <c r="H165" t="str">
        <f t="shared" ca="1" si="2"/>
        <v>334</v>
      </c>
      <c r="I165" t="str" cm="1">
        <f t="array" aca="1" ref="I165" ca="1">_xlfn.IFS(
  H165="555","Champions",
  VALUE(LEFT(H165,2))&gt;=54,"Loyal Customers",
  VALUE(LEFT(H165,1))&gt;=4,"Potential Loyalists",
  VALUE(RIGHT(H165,2))&gt;=45,"New Customers",
  VALUE(LEFT(H165,1))&lt;=2,"At Risk",
  VALUE(LEFT(H165,1))&lt;=1,"Can't Lose",
  TRUE,"Others"
)</f>
        <v>Others</v>
      </c>
    </row>
    <row r="166" spans="1:9" x14ac:dyDescent="0.35">
      <c r="A166" t="str">
        <v>CUST0080</v>
      </c>
      <c r="B166" s="3">
        <f ca="1">TODAY()-Sheet1!B166</f>
        <v>15</v>
      </c>
      <c r="C166" s="3">
        <f>COUNTIFS(Sheet1!A166:A1165,A166)</f>
        <v>7</v>
      </c>
      <c r="D166" s="4">
        <v>16159.26</v>
      </c>
      <c r="E166" cm="1">
        <f t="array" aca="1" ref="E166" ca="1">_xlfn.IFS(B166&lt;=30,5,B166&lt;=60,4,B166&lt;=90,3,B166&lt;=120,2,TRUE,1)</f>
        <v>5</v>
      </c>
      <c r="F166" cm="1">
        <f t="array" ref="F166">_xlfn.IFS(C166&gt;=8,5,C166&gt;=5,4,C166&gt;=3,3,C166&gt;=2,2,TRUE,1)</f>
        <v>4</v>
      </c>
      <c r="G166" cm="1">
        <f t="array" ref="G166">_xlfn.IFS(D166&gt;=15000,5,D166&gt;=8000,4,D166&gt;=3000,3,D166&gt;=1000,2,TRUE,1)</f>
        <v>5</v>
      </c>
      <c r="H166" t="str">
        <f t="shared" ca="1" si="2"/>
        <v>545</v>
      </c>
      <c r="I166" t="str" cm="1">
        <f t="array" aca="1" ref="I166" ca="1">_xlfn.IFS(
  H166="555","Champions",
  VALUE(LEFT(H166,2))&gt;=54,"Loyal Customers",
  VALUE(LEFT(H166,1))&gt;=4,"Potential Loyalists",
  VALUE(RIGHT(H166,2))&gt;=45,"New Customers",
  VALUE(LEFT(H166,1))&lt;=2,"At Risk",
  VALUE(LEFT(H166,1))&lt;=1,"Can't Lose",
  TRUE,"Others"
)</f>
        <v>Loyal Customers</v>
      </c>
    </row>
    <row r="167" spans="1:9" x14ac:dyDescent="0.35">
      <c r="A167" t="str">
        <v>CUST0008</v>
      </c>
      <c r="B167" s="3">
        <f ca="1">TODAY()-Sheet1!B167</f>
        <v>22</v>
      </c>
      <c r="C167" s="3">
        <f>COUNTIFS(Sheet1!A167:A1166,A167)</f>
        <v>3</v>
      </c>
      <c r="D167" s="4">
        <v>7181.3099999999995</v>
      </c>
      <c r="E167" cm="1">
        <f t="array" aca="1" ref="E167" ca="1">_xlfn.IFS(B167&lt;=30,5,B167&lt;=60,4,B167&lt;=90,3,B167&lt;=120,2,TRUE,1)</f>
        <v>5</v>
      </c>
      <c r="F167" cm="1">
        <f t="array" ref="F167">_xlfn.IFS(C167&gt;=8,5,C167&gt;=5,4,C167&gt;=3,3,C167&gt;=2,2,TRUE,1)</f>
        <v>3</v>
      </c>
      <c r="G167" cm="1">
        <f t="array" ref="G167">_xlfn.IFS(D167&gt;=15000,5,D167&gt;=8000,4,D167&gt;=3000,3,D167&gt;=1000,2,TRUE,1)</f>
        <v>3</v>
      </c>
      <c r="H167" t="str">
        <f t="shared" ca="1" si="2"/>
        <v>533</v>
      </c>
      <c r="I167" t="str" cm="1">
        <f t="array" aca="1" ref="I167" ca="1">_xlfn.IFS(
  H167="555","Champions",
  VALUE(LEFT(H167,2))&gt;=54,"Loyal Customers",
  VALUE(LEFT(H167,1))&gt;=4,"Potential Loyalists",
  VALUE(RIGHT(H167,2))&gt;=45,"New Customers",
  VALUE(LEFT(H167,1))&lt;=2,"At Risk",
  VALUE(LEFT(H167,1))&lt;=1,"Can't Lose",
  TRUE,"Others"
)</f>
        <v>Potential Loyalists</v>
      </c>
    </row>
    <row r="168" spans="1:9" x14ac:dyDescent="0.35">
      <c r="A168" t="str">
        <v>CUST0113</v>
      </c>
      <c r="B168" s="3">
        <f ca="1">TODAY()-Sheet1!B168</f>
        <v>63</v>
      </c>
      <c r="C168" s="3">
        <f>COUNTIFS(Sheet1!A168:A1167,A168)</f>
        <v>3</v>
      </c>
      <c r="D168" s="4">
        <v>9850</v>
      </c>
      <c r="E168" cm="1">
        <f t="array" aca="1" ref="E168" ca="1">_xlfn.IFS(B168&lt;=30,5,B168&lt;=60,4,B168&lt;=90,3,B168&lt;=120,2,TRUE,1)</f>
        <v>3</v>
      </c>
      <c r="F168" cm="1">
        <f t="array" ref="F168">_xlfn.IFS(C168&gt;=8,5,C168&gt;=5,4,C168&gt;=3,3,C168&gt;=2,2,TRUE,1)</f>
        <v>3</v>
      </c>
      <c r="G168" cm="1">
        <f t="array" ref="G168">_xlfn.IFS(D168&gt;=15000,5,D168&gt;=8000,4,D168&gt;=3000,3,D168&gt;=1000,2,TRUE,1)</f>
        <v>4</v>
      </c>
      <c r="H168" t="str">
        <f t="shared" ca="1" si="2"/>
        <v>334</v>
      </c>
      <c r="I168" t="str" cm="1">
        <f t="array" aca="1" ref="I168" ca="1">_xlfn.IFS(
  H168="555","Champions",
  VALUE(LEFT(H168,2))&gt;=54,"Loyal Customers",
  VALUE(LEFT(H168,1))&gt;=4,"Potential Loyalists",
  VALUE(RIGHT(H168,2))&gt;=45,"New Customers",
  VALUE(LEFT(H168,1))&lt;=2,"At Risk",
  VALUE(LEFT(H168,1))&lt;=1,"Can't Lose",
  TRUE,"Others"
)</f>
        <v>Others</v>
      </c>
    </row>
    <row r="169" spans="1:9" x14ac:dyDescent="0.35">
      <c r="A169" t="str">
        <v>CUST0086</v>
      </c>
      <c r="B169" s="3">
        <f ca="1">TODAY()-Sheet1!B169</f>
        <v>30</v>
      </c>
      <c r="C169" s="3">
        <f>COUNTIFS(Sheet1!A169:A1168,A169)</f>
        <v>3</v>
      </c>
      <c r="D169" s="4">
        <v>13747.03</v>
      </c>
      <c r="E169" cm="1">
        <f t="array" aca="1" ref="E169" ca="1">_xlfn.IFS(B169&lt;=30,5,B169&lt;=60,4,B169&lt;=90,3,B169&lt;=120,2,TRUE,1)</f>
        <v>5</v>
      </c>
      <c r="F169" cm="1">
        <f t="array" ref="F169">_xlfn.IFS(C169&gt;=8,5,C169&gt;=5,4,C169&gt;=3,3,C169&gt;=2,2,TRUE,1)</f>
        <v>3</v>
      </c>
      <c r="G169" cm="1">
        <f t="array" ref="G169">_xlfn.IFS(D169&gt;=15000,5,D169&gt;=8000,4,D169&gt;=3000,3,D169&gt;=1000,2,TRUE,1)</f>
        <v>4</v>
      </c>
      <c r="H169" t="str">
        <f t="shared" ca="1" si="2"/>
        <v>534</v>
      </c>
      <c r="I169" t="str" cm="1">
        <f t="array" aca="1" ref="I169" ca="1">_xlfn.IFS(
  H169="555","Champions",
  VALUE(LEFT(H169,2))&gt;=54,"Loyal Customers",
  VALUE(LEFT(H169,1))&gt;=4,"Potential Loyalists",
  VALUE(RIGHT(H169,2))&gt;=45,"New Customers",
  VALUE(LEFT(H169,1))&lt;=2,"At Risk",
  VALUE(LEFT(H169,1))&lt;=1,"Can't Lose",
  TRUE,"Others"
)</f>
        <v>Potential Loyalists</v>
      </c>
    </row>
    <row r="170" spans="1:9" x14ac:dyDescent="0.35">
      <c r="A170" t="str">
        <v>CUST0079</v>
      </c>
      <c r="B170" s="3">
        <f ca="1">TODAY()-Sheet1!B170</f>
        <v>110</v>
      </c>
      <c r="C170" s="3">
        <f>COUNTIFS(Sheet1!A170:A1169,A170)</f>
        <v>5</v>
      </c>
      <c r="D170" s="4">
        <v>13457.300000000001</v>
      </c>
      <c r="E170" cm="1">
        <f t="array" aca="1" ref="E170" ca="1">_xlfn.IFS(B170&lt;=30,5,B170&lt;=60,4,B170&lt;=90,3,B170&lt;=120,2,TRUE,1)</f>
        <v>2</v>
      </c>
      <c r="F170" cm="1">
        <f t="array" ref="F170">_xlfn.IFS(C170&gt;=8,5,C170&gt;=5,4,C170&gt;=3,3,C170&gt;=2,2,TRUE,1)</f>
        <v>4</v>
      </c>
      <c r="G170" cm="1">
        <f t="array" ref="G170">_xlfn.IFS(D170&gt;=15000,5,D170&gt;=8000,4,D170&gt;=3000,3,D170&gt;=1000,2,TRUE,1)</f>
        <v>4</v>
      </c>
      <c r="H170" t="str">
        <f t="shared" ca="1" si="2"/>
        <v>244</v>
      </c>
      <c r="I170" t="str" cm="1">
        <f t="array" aca="1" ref="I170" ca="1">_xlfn.IFS(
  H170="555","Champions",
  VALUE(LEFT(H170,2))&gt;=54,"Loyal Customers",
  VALUE(LEFT(H170,1))&gt;=4,"Potential Loyalists",
  VALUE(RIGHT(H170,2))&gt;=45,"New Customers",
  VALUE(LEFT(H170,1))&lt;=2,"At Risk",
  VALUE(LEFT(H170,1))&lt;=1,"Can't Lose",
  TRUE,"Others"
)</f>
        <v>At Risk</v>
      </c>
    </row>
    <row r="171" spans="1:9" x14ac:dyDescent="0.35">
      <c r="A171" t="str">
        <v>CUST0167</v>
      </c>
      <c r="B171" s="3">
        <f ca="1">TODAY()-Sheet1!B171</f>
        <v>70</v>
      </c>
      <c r="C171" s="3">
        <f>COUNTIFS(Sheet1!A171:A1170,A171)</f>
        <v>6</v>
      </c>
      <c r="D171" s="4">
        <v>28253.919999999998</v>
      </c>
      <c r="E171" cm="1">
        <f t="array" aca="1" ref="E171" ca="1">_xlfn.IFS(B171&lt;=30,5,B171&lt;=60,4,B171&lt;=90,3,B171&lt;=120,2,TRUE,1)</f>
        <v>3</v>
      </c>
      <c r="F171" cm="1">
        <f t="array" ref="F171">_xlfn.IFS(C171&gt;=8,5,C171&gt;=5,4,C171&gt;=3,3,C171&gt;=2,2,TRUE,1)</f>
        <v>4</v>
      </c>
      <c r="G171" cm="1">
        <f t="array" ref="G171">_xlfn.IFS(D171&gt;=15000,5,D171&gt;=8000,4,D171&gt;=3000,3,D171&gt;=1000,2,TRUE,1)</f>
        <v>5</v>
      </c>
      <c r="H171" t="str">
        <f t="shared" ca="1" si="2"/>
        <v>345</v>
      </c>
      <c r="I171" t="str" cm="1">
        <f t="array" aca="1" ref="I171" ca="1">_xlfn.IFS(
  H171="555","Champions",
  VALUE(LEFT(H171,2))&gt;=54,"Loyal Customers",
  VALUE(LEFT(H171,1))&gt;=4,"Potential Loyalists",
  VALUE(RIGHT(H171,2))&gt;=45,"New Customers",
  VALUE(LEFT(H171,1))&lt;=2,"At Risk",
  VALUE(LEFT(H171,1))&lt;=1,"Can't Lose",
  TRUE,"Others"
)</f>
        <v>New Customers</v>
      </c>
    </row>
    <row r="172" spans="1:9" x14ac:dyDescent="0.35">
      <c r="A172" t="str">
        <v>CUST0120</v>
      </c>
      <c r="B172" s="3">
        <f ca="1">TODAY()-Sheet1!B172</f>
        <v>99</v>
      </c>
      <c r="C172" s="3">
        <f>COUNTIFS(Sheet1!A172:A1171,A172)</f>
        <v>5</v>
      </c>
      <c r="D172" s="4">
        <v>10850.05</v>
      </c>
      <c r="E172" cm="1">
        <f t="array" aca="1" ref="E172" ca="1">_xlfn.IFS(B172&lt;=30,5,B172&lt;=60,4,B172&lt;=90,3,B172&lt;=120,2,TRUE,1)</f>
        <v>2</v>
      </c>
      <c r="F172" cm="1">
        <f t="array" ref="F172">_xlfn.IFS(C172&gt;=8,5,C172&gt;=5,4,C172&gt;=3,3,C172&gt;=2,2,TRUE,1)</f>
        <v>4</v>
      </c>
      <c r="G172" cm="1">
        <f t="array" ref="G172">_xlfn.IFS(D172&gt;=15000,5,D172&gt;=8000,4,D172&gt;=3000,3,D172&gt;=1000,2,TRUE,1)</f>
        <v>4</v>
      </c>
      <c r="H172" t="str">
        <f t="shared" ca="1" si="2"/>
        <v>244</v>
      </c>
      <c r="I172" t="str" cm="1">
        <f t="array" aca="1" ref="I172" ca="1">_xlfn.IFS(
  H172="555","Champions",
  VALUE(LEFT(H172,2))&gt;=54,"Loyal Customers",
  VALUE(LEFT(H172,1))&gt;=4,"Potential Loyalists",
  VALUE(RIGHT(H172,2))&gt;=45,"New Customers",
  VALUE(LEFT(H172,1))&lt;=2,"At Risk",
  VALUE(LEFT(H172,1))&lt;=1,"Can't Lose",
  TRUE,"Others"
)</f>
        <v>At Risk</v>
      </c>
    </row>
    <row r="173" spans="1:9" x14ac:dyDescent="0.35">
      <c r="A173" t="str">
        <v>CUST0157</v>
      </c>
      <c r="B173" s="3">
        <f ca="1">TODAY()-Sheet1!B173</f>
        <v>25</v>
      </c>
      <c r="C173" s="3">
        <f>COUNTIFS(Sheet1!A173:A1172,A173)</f>
        <v>3</v>
      </c>
      <c r="D173" s="4">
        <v>8641.5499999999993</v>
      </c>
      <c r="E173" cm="1">
        <f t="array" aca="1" ref="E173" ca="1">_xlfn.IFS(B173&lt;=30,5,B173&lt;=60,4,B173&lt;=90,3,B173&lt;=120,2,TRUE,1)</f>
        <v>5</v>
      </c>
      <c r="F173" cm="1">
        <f t="array" ref="F173">_xlfn.IFS(C173&gt;=8,5,C173&gt;=5,4,C173&gt;=3,3,C173&gt;=2,2,TRUE,1)</f>
        <v>3</v>
      </c>
      <c r="G173" cm="1">
        <f t="array" ref="G173">_xlfn.IFS(D173&gt;=15000,5,D173&gt;=8000,4,D173&gt;=3000,3,D173&gt;=1000,2,TRUE,1)</f>
        <v>4</v>
      </c>
      <c r="H173" t="str">
        <f t="shared" ca="1" si="2"/>
        <v>534</v>
      </c>
      <c r="I173" t="str" cm="1">
        <f t="array" aca="1" ref="I173" ca="1">_xlfn.IFS(
  H173="555","Champions",
  VALUE(LEFT(H173,2))&gt;=54,"Loyal Customers",
  VALUE(LEFT(H173,1))&gt;=4,"Potential Loyalists",
  VALUE(RIGHT(H173,2))&gt;=45,"New Customers",
  VALUE(LEFT(H173,1))&lt;=2,"At Risk",
  VALUE(LEFT(H173,1))&lt;=1,"Can't Lose",
  TRUE,"Others"
)</f>
        <v>Potential Loyalists</v>
      </c>
    </row>
    <row r="174" spans="1:9" x14ac:dyDescent="0.35">
      <c r="A174" t="str">
        <v>CUST0119</v>
      </c>
      <c r="B174" s="3">
        <f ca="1">TODAY()-Sheet1!B174</f>
        <v>89</v>
      </c>
      <c r="C174" s="3">
        <f>COUNTIFS(Sheet1!A174:A1173,A174)</f>
        <v>2</v>
      </c>
      <c r="D174" s="4">
        <v>13865.3</v>
      </c>
      <c r="E174" cm="1">
        <f t="array" aca="1" ref="E174" ca="1">_xlfn.IFS(B174&lt;=30,5,B174&lt;=60,4,B174&lt;=90,3,B174&lt;=120,2,TRUE,1)</f>
        <v>3</v>
      </c>
      <c r="F174" cm="1">
        <f t="array" ref="F174">_xlfn.IFS(C174&gt;=8,5,C174&gt;=5,4,C174&gt;=3,3,C174&gt;=2,2,TRUE,1)</f>
        <v>2</v>
      </c>
      <c r="G174" cm="1">
        <f t="array" ref="G174">_xlfn.IFS(D174&gt;=15000,5,D174&gt;=8000,4,D174&gt;=3000,3,D174&gt;=1000,2,TRUE,1)</f>
        <v>4</v>
      </c>
      <c r="H174" t="str">
        <f t="shared" ca="1" si="2"/>
        <v>324</v>
      </c>
      <c r="I174" t="str" cm="1">
        <f t="array" aca="1" ref="I174" ca="1">_xlfn.IFS(
  H174="555","Champions",
  VALUE(LEFT(H174,2))&gt;=54,"Loyal Customers",
  VALUE(LEFT(H174,1))&gt;=4,"Potential Loyalists",
  VALUE(RIGHT(H174,2))&gt;=45,"New Customers",
  VALUE(LEFT(H174,1))&lt;=2,"At Risk",
  VALUE(LEFT(H174,1))&lt;=1,"Can't Lose",
  TRUE,"Others"
)</f>
        <v>Others</v>
      </c>
    </row>
    <row r="175" spans="1:9" x14ac:dyDescent="0.35">
      <c r="A175" t="str">
        <v>CUST0047</v>
      </c>
      <c r="B175" s="3">
        <f ca="1">TODAY()-Sheet1!B175</f>
        <v>23</v>
      </c>
      <c r="C175" s="3">
        <f>COUNTIFS(Sheet1!A175:A1174,A175)</f>
        <v>6</v>
      </c>
      <c r="D175" s="4">
        <v>11521.53</v>
      </c>
      <c r="E175" cm="1">
        <f t="array" aca="1" ref="E175" ca="1">_xlfn.IFS(B175&lt;=30,5,B175&lt;=60,4,B175&lt;=90,3,B175&lt;=120,2,TRUE,1)</f>
        <v>5</v>
      </c>
      <c r="F175" cm="1">
        <f t="array" ref="F175">_xlfn.IFS(C175&gt;=8,5,C175&gt;=5,4,C175&gt;=3,3,C175&gt;=2,2,TRUE,1)</f>
        <v>4</v>
      </c>
      <c r="G175" cm="1">
        <f t="array" ref="G175">_xlfn.IFS(D175&gt;=15000,5,D175&gt;=8000,4,D175&gt;=3000,3,D175&gt;=1000,2,TRUE,1)</f>
        <v>4</v>
      </c>
      <c r="H175" t="str">
        <f t="shared" ca="1" si="2"/>
        <v>544</v>
      </c>
      <c r="I175" t="str" cm="1">
        <f t="array" aca="1" ref="I175" ca="1">_xlfn.IFS(
  H175="555","Champions",
  VALUE(LEFT(H175,2))&gt;=54,"Loyal Customers",
  VALUE(LEFT(H175,1))&gt;=4,"Potential Loyalists",
  VALUE(RIGHT(H175,2))&gt;=45,"New Customers",
  VALUE(LEFT(H175,1))&lt;=2,"At Risk",
  VALUE(LEFT(H175,1))&lt;=1,"Can't Lose",
  TRUE,"Others"
)</f>
        <v>Loyal Customers</v>
      </c>
    </row>
    <row r="176" spans="1:9" x14ac:dyDescent="0.35">
      <c r="A176" t="str">
        <v>CUST0074</v>
      </c>
      <c r="B176" s="3">
        <f ca="1">TODAY()-Sheet1!B176</f>
        <v>97</v>
      </c>
      <c r="C176" s="3">
        <f>COUNTIFS(Sheet1!A176:A1175,A176)</f>
        <v>1</v>
      </c>
      <c r="D176" s="4">
        <v>9451.7200000000012</v>
      </c>
      <c r="E176" cm="1">
        <f t="array" aca="1" ref="E176" ca="1">_xlfn.IFS(B176&lt;=30,5,B176&lt;=60,4,B176&lt;=90,3,B176&lt;=120,2,TRUE,1)</f>
        <v>2</v>
      </c>
      <c r="F176" cm="1">
        <f t="array" ref="F176">_xlfn.IFS(C176&gt;=8,5,C176&gt;=5,4,C176&gt;=3,3,C176&gt;=2,2,TRUE,1)</f>
        <v>1</v>
      </c>
      <c r="G176" cm="1">
        <f t="array" ref="G176">_xlfn.IFS(D176&gt;=15000,5,D176&gt;=8000,4,D176&gt;=3000,3,D176&gt;=1000,2,TRUE,1)</f>
        <v>4</v>
      </c>
      <c r="H176" t="str">
        <f t="shared" ca="1" si="2"/>
        <v>214</v>
      </c>
      <c r="I176" t="str" cm="1">
        <f t="array" aca="1" ref="I176" ca="1">_xlfn.IFS(
  H176="555","Champions",
  VALUE(LEFT(H176,2))&gt;=54,"Loyal Customers",
  VALUE(LEFT(H176,1))&gt;=4,"Potential Loyalists",
  VALUE(RIGHT(H176,2))&gt;=45,"New Customers",
  VALUE(LEFT(H176,1))&lt;=2,"At Risk",
  VALUE(LEFT(H176,1))&lt;=1,"Can't Lose",
  TRUE,"Others"
)</f>
        <v>At Risk</v>
      </c>
    </row>
    <row r="177" spans="1:9" x14ac:dyDescent="0.35">
      <c r="A177" t="str">
        <v>CUST0009</v>
      </c>
      <c r="B177" s="3">
        <f ca="1">TODAY()-Sheet1!B177</f>
        <v>3</v>
      </c>
      <c r="C177" s="3">
        <f>COUNTIFS(Sheet1!A177:A1176,A177)</f>
        <v>6</v>
      </c>
      <c r="D177" s="4">
        <v>25700.390000000003</v>
      </c>
      <c r="E177" cm="1">
        <f t="array" aca="1" ref="E177" ca="1">_xlfn.IFS(B177&lt;=30,5,B177&lt;=60,4,B177&lt;=90,3,B177&lt;=120,2,TRUE,1)</f>
        <v>5</v>
      </c>
      <c r="F177" cm="1">
        <f t="array" ref="F177">_xlfn.IFS(C177&gt;=8,5,C177&gt;=5,4,C177&gt;=3,3,C177&gt;=2,2,TRUE,1)</f>
        <v>4</v>
      </c>
      <c r="G177" cm="1">
        <f t="array" ref="G177">_xlfn.IFS(D177&gt;=15000,5,D177&gt;=8000,4,D177&gt;=3000,3,D177&gt;=1000,2,TRUE,1)</f>
        <v>5</v>
      </c>
      <c r="H177" t="str">
        <f t="shared" ca="1" si="2"/>
        <v>545</v>
      </c>
      <c r="I177" t="str" cm="1">
        <f t="array" aca="1" ref="I177" ca="1">_xlfn.IFS(
  H177="555","Champions",
  VALUE(LEFT(H177,2))&gt;=54,"Loyal Customers",
  VALUE(LEFT(H177,1))&gt;=4,"Potential Loyalists",
  VALUE(RIGHT(H177,2))&gt;=45,"New Customers",
  VALUE(LEFT(H177,1))&lt;=2,"At Risk",
  VALUE(LEFT(H177,1))&lt;=1,"Can't Lose",
  TRUE,"Others"
)</f>
        <v>Loyal Customers</v>
      </c>
    </row>
    <row r="178" spans="1:9" x14ac:dyDescent="0.35">
      <c r="A178" t="str">
        <v>CUST0140</v>
      </c>
      <c r="B178" s="3">
        <f ca="1">TODAY()-Sheet1!B178</f>
        <v>101</v>
      </c>
      <c r="C178" s="3">
        <f>COUNTIFS(Sheet1!A178:A1177,A178)</f>
        <v>3</v>
      </c>
      <c r="D178" s="4">
        <v>15838.490000000002</v>
      </c>
      <c r="E178" cm="1">
        <f t="array" aca="1" ref="E178" ca="1">_xlfn.IFS(B178&lt;=30,5,B178&lt;=60,4,B178&lt;=90,3,B178&lt;=120,2,TRUE,1)</f>
        <v>2</v>
      </c>
      <c r="F178" cm="1">
        <f t="array" ref="F178">_xlfn.IFS(C178&gt;=8,5,C178&gt;=5,4,C178&gt;=3,3,C178&gt;=2,2,TRUE,1)</f>
        <v>3</v>
      </c>
      <c r="G178" cm="1">
        <f t="array" ref="G178">_xlfn.IFS(D178&gt;=15000,5,D178&gt;=8000,4,D178&gt;=3000,3,D178&gt;=1000,2,TRUE,1)</f>
        <v>5</v>
      </c>
      <c r="H178" t="str">
        <f t="shared" ca="1" si="2"/>
        <v>235</v>
      </c>
      <c r="I178" t="str" cm="1">
        <f t="array" aca="1" ref="I178" ca="1">_xlfn.IFS(
  H178="555","Champions",
  VALUE(LEFT(H178,2))&gt;=54,"Loyal Customers",
  VALUE(LEFT(H178,1))&gt;=4,"Potential Loyalists",
  VALUE(RIGHT(H178,2))&gt;=45,"New Customers",
  VALUE(LEFT(H178,1))&lt;=2,"At Risk",
  VALUE(LEFT(H178,1))&lt;=1,"Can't Lose",
  TRUE,"Others"
)</f>
        <v>At Risk</v>
      </c>
    </row>
    <row r="179" spans="1:9" x14ac:dyDescent="0.35">
      <c r="A179" t="str">
        <v>CUST0034</v>
      </c>
      <c r="B179" s="3">
        <f ca="1">TODAY()-Sheet1!B179</f>
        <v>38</v>
      </c>
      <c r="C179" s="3">
        <f>COUNTIFS(Sheet1!A179:A1178,A179)</f>
        <v>3</v>
      </c>
      <c r="D179" s="4">
        <v>7950.91</v>
      </c>
      <c r="E179" cm="1">
        <f t="array" aca="1" ref="E179" ca="1">_xlfn.IFS(B179&lt;=30,5,B179&lt;=60,4,B179&lt;=90,3,B179&lt;=120,2,TRUE,1)</f>
        <v>4</v>
      </c>
      <c r="F179" cm="1">
        <f t="array" ref="F179">_xlfn.IFS(C179&gt;=8,5,C179&gt;=5,4,C179&gt;=3,3,C179&gt;=2,2,TRUE,1)</f>
        <v>3</v>
      </c>
      <c r="G179" cm="1">
        <f t="array" ref="G179">_xlfn.IFS(D179&gt;=15000,5,D179&gt;=8000,4,D179&gt;=3000,3,D179&gt;=1000,2,TRUE,1)</f>
        <v>3</v>
      </c>
      <c r="H179" t="str">
        <f t="shared" ca="1" si="2"/>
        <v>433</v>
      </c>
      <c r="I179" t="str" cm="1">
        <f t="array" aca="1" ref="I179" ca="1">_xlfn.IFS(
  H179="555","Champions",
  VALUE(LEFT(H179,2))&gt;=54,"Loyal Customers",
  VALUE(LEFT(H179,1))&gt;=4,"Potential Loyalists",
  VALUE(RIGHT(H179,2))&gt;=45,"New Customers",
  VALUE(LEFT(H179,1))&lt;=2,"At Risk",
  VALUE(LEFT(H179,1))&lt;=1,"Can't Lose",
  TRUE,"Others"
)</f>
        <v>Potential Loyalists</v>
      </c>
    </row>
    <row r="180" spans="1:9" x14ac:dyDescent="0.35">
      <c r="A180" t="str">
        <v>CUST0070</v>
      </c>
      <c r="B180" s="3">
        <f ca="1">TODAY()-Sheet1!B180</f>
        <v>82</v>
      </c>
      <c r="C180" s="3">
        <f>COUNTIFS(Sheet1!A180:A1179,A180)</f>
        <v>3</v>
      </c>
      <c r="D180" s="4">
        <v>1579.46</v>
      </c>
      <c r="E180" cm="1">
        <f t="array" aca="1" ref="E180" ca="1">_xlfn.IFS(B180&lt;=30,5,B180&lt;=60,4,B180&lt;=90,3,B180&lt;=120,2,TRUE,1)</f>
        <v>3</v>
      </c>
      <c r="F180" cm="1">
        <f t="array" ref="F180">_xlfn.IFS(C180&gt;=8,5,C180&gt;=5,4,C180&gt;=3,3,C180&gt;=2,2,TRUE,1)</f>
        <v>3</v>
      </c>
      <c r="G180" cm="1">
        <f t="array" ref="G180">_xlfn.IFS(D180&gt;=15000,5,D180&gt;=8000,4,D180&gt;=3000,3,D180&gt;=1000,2,TRUE,1)</f>
        <v>2</v>
      </c>
      <c r="H180" t="str">
        <f t="shared" ca="1" si="2"/>
        <v>332</v>
      </c>
      <c r="I180" t="str" cm="1">
        <f t="array" aca="1" ref="I180" ca="1">_xlfn.IFS(
  H180="555","Champions",
  VALUE(LEFT(H180,2))&gt;=54,"Loyal Customers",
  VALUE(LEFT(H180,1))&gt;=4,"Potential Loyalists",
  VALUE(RIGHT(H180,2))&gt;=45,"New Customers",
  VALUE(LEFT(H180,1))&lt;=2,"At Risk",
  VALUE(LEFT(H180,1))&lt;=1,"Can't Lose",
  TRUE,"Others"
)</f>
        <v>Others</v>
      </c>
    </row>
    <row r="181" spans="1:9" x14ac:dyDescent="0.35">
      <c r="A181" t="str">
        <v>CUST0063</v>
      </c>
      <c r="B181" s="3">
        <f ca="1">TODAY()-Sheet1!B181</f>
        <v>80</v>
      </c>
      <c r="C181" s="3">
        <f>COUNTIFS(Sheet1!A181:A1180,A181)</f>
        <v>4</v>
      </c>
      <c r="D181" s="4">
        <v>10320.549999999999</v>
      </c>
      <c r="E181" cm="1">
        <f t="array" aca="1" ref="E181" ca="1">_xlfn.IFS(B181&lt;=30,5,B181&lt;=60,4,B181&lt;=90,3,B181&lt;=120,2,TRUE,1)</f>
        <v>3</v>
      </c>
      <c r="F181" cm="1">
        <f t="array" ref="F181">_xlfn.IFS(C181&gt;=8,5,C181&gt;=5,4,C181&gt;=3,3,C181&gt;=2,2,TRUE,1)</f>
        <v>3</v>
      </c>
      <c r="G181" cm="1">
        <f t="array" ref="G181">_xlfn.IFS(D181&gt;=15000,5,D181&gt;=8000,4,D181&gt;=3000,3,D181&gt;=1000,2,TRUE,1)</f>
        <v>4</v>
      </c>
      <c r="H181" t="str">
        <f t="shared" ca="1" si="2"/>
        <v>334</v>
      </c>
      <c r="I181" t="str" cm="1">
        <f t="array" aca="1" ref="I181" ca="1">_xlfn.IFS(
  H181="555","Champions",
  VALUE(LEFT(H181,2))&gt;=54,"Loyal Customers",
  VALUE(LEFT(H181,1))&gt;=4,"Potential Loyalists",
  VALUE(RIGHT(H181,2))&gt;=45,"New Customers",
  VALUE(LEFT(H181,1))&lt;=2,"At Risk",
  VALUE(LEFT(H181,1))&lt;=1,"Can't Lose",
  TRUE,"Others"
)</f>
        <v>Others</v>
      </c>
    </row>
    <row r="182" spans="1:9" x14ac:dyDescent="0.35">
      <c r="A182" t="str">
        <v>CUST0037</v>
      </c>
      <c r="B182" s="3">
        <f ca="1">TODAY()-Sheet1!B182</f>
        <v>8</v>
      </c>
      <c r="C182" s="3">
        <f>COUNTIFS(Sheet1!A182:A1181,A182)</f>
        <v>6</v>
      </c>
      <c r="D182" s="4">
        <v>6880.2199999999993</v>
      </c>
      <c r="E182" cm="1">
        <f t="array" aca="1" ref="E182" ca="1">_xlfn.IFS(B182&lt;=30,5,B182&lt;=60,4,B182&lt;=90,3,B182&lt;=120,2,TRUE,1)</f>
        <v>5</v>
      </c>
      <c r="F182" cm="1">
        <f t="array" ref="F182">_xlfn.IFS(C182&gt;=8,5,C182&gt;=5,4,C182&gt;=3,3,C182&gt;=2,2,TRUE,1)</f>
        <v>4</v>
      </c>
      <c r="G182" cm="1">
        <f t="array" ref="G182">_xlfn.IFS(D182&gt;=15000,5,D182&gt;=8000,4,D182&gt;=3000,3,D182&gt;=1000,2,TRUE,1)</f>
        <v>3</v>
      </c>
      <c r="H182" t="str">
        <f t="shared" ca="1" si="2"/>
        <v>543</v>
      </c>
      <c r="I182" t="str" cm="1">
        <f t="array" aca="1" ref="I182" ca="1">_xlfn.IFS(
  H182="555","Champions",
  VALUE(LEFT(H182,2))&gt;=54,"Loyal Customers",
  VALUE(LEFT(H182,1))&gt;=4,"Potential Loyalists",
  VALUE(RIGHT(H182,2))&gt;=45,"New Customers",
  VALUE(LEFT(H182,1))&lt;=2,"At Risk",
  VALUE(LEFT(H182,1))&lt;=1,"Can't Lose",
  TRUE,"Others"
)</f>
        <v>Loyal Customers</v>
      </c>
    </row>
    <row r="183" spans="1:9" x14ac:dyDescent="0.35">
      <c r="A183" t="str">
        <v>CUST0025</v>
      </c>
      <c r="B183" s="3">
        <f ca="1">TODAY()-Sheet1!B183</f>
        <v>79</v>
      </c>
      <c r="C183" s="3">
        <f>COUNTIFS(Sheet1!A183:A1182,A183)</f>
        <v>3</v>
      </c>
      <c r="D183" s="4">
        <v>4761.62</v>
      </c>
      <c r="E183" cm="1">
        <f t="array" aca="1" ref="E183" ca="1">_xlfn.IFS(B183&lt;=30,5,B183&lt;=60,4,B183&lt;=90,3,B183&lt;=120,2,TRUE,1)</f>
        <v>3</v>
      </c>
      <c r="F183" cm="1">
        <f t="array" ref="F183">_xlfn.IFS(C183&gt;=8,5,C183&gt;=5,4,C183&gt;=3,3,C183&gt;=2,2,TRUE,1)</f>
        <v>3</v>
      </c>
      <c r="G183" cm="1">
        <f t="array" ref="G183">_xlfn.IFS(D183&gt;=15000,5,D183&gt;=8000,4,D183&gt;=3000,3,D183&gt;=1000,2,TRUE,1)</f>
        <v>3</v>
      </c>
      <c r="H183" t="str">
        <f t="shared" ca="1" si="2"/>
        <v>333</v>
      </c>
      <c r="I183" t="str" cm="1">
        <f t="array" aca="1" ref="I183" ca="1">_xlfn.IFS(
  H183="555","Champions",
  VALUE(LEFT(H183,2))&gt;=54,"Loyal Customers",
  VALUE(LEFT(H183,1))&gt;=4,"Potential Loyalists",
  VALUE(RIGHT(H183,2))&gt;=45,"New Customers",
  VALUE(LEFT(H183,1))&lt;=2,"At Risk",
  VALUE(LEFT(H183,1))&lt;=1,"Can't Lose",
  TRUE,"Others"
)</f>
        <v>Others</v>
      </c>
    </row>
    <row r="184" spans="1:9" x14ac:dyDescent="0.35">
      <c r="A184" t="str">
        <v>CUST0195</v>
      </c>
      <c r="B184" s="3">
        <f ca="1">TODAY()-Sheet1!B184</f>
        <v>7</v>
      </c>
      <c r="C184" s="3">
        <f>COUNTIFS(Sheet1!A184:A1183,A184)</f>
        <v>2</v>
      </c>
      <c r="D184" s="4">
        <v>7022.2699999999995</v>
      </c>
      <c r="E184" cm="1">
        <f t="array" aca="1" ref="E184" ca="1">_xlfn.IFS(B184&lt;=30,5,B184&lt;=60,4,B184&lt;=90,3,B184&lt;=120,2,TRUE,1)</f>
        <v>5</v>
      </c>
      <c r="F184" cm="1">
        <f t="array" ref="F184">_xlfn.IFS(C184&gt;=8,5,C184&gt;=5,4,C184&gt;=3,3,C184&gt;=2,2,TRUE,1)</f>
        <v>2</v>
      </c>
      <c r="G184" cm="1">
        <f t="array" ref="G184">_xlfn.IFS(D184&gt;=15000,5,D184&gt;=8000,4,D184&gt;=3000,3,D184&gt;=1000,2,TRUE,1)</f>
        <v>3</v>
      </c>
      <c r="H184" t="str">
        <f t="shared" ca="1" si="2"/>
        <v>523</v>
      </c>
      <c r="I184" t="str" cm="1">
        <f t="array" aca="1" ref="I184" ca="1">_xlfn.IFS(
  H184="555","Champions",
  VALUE(LEFT(H184,2))&gt;=54,"Loyal Customers",
  VALUE(LEFT(H184,1))&gt;=4,"Potential Loyalists",
  VALUE(RIGHT(H184,2))&gt;=45,"New Customers",
  VALUE(LEFT(H184,1))&lt;=2,"At Risk",
  VALUE(LEFT(H184,1))&lt;=1,"Can't Lose",
  TRUE,"Others"
)</f>
        <v>Potential Loyalists</v>
      </c>
    </row>
    <row r="185" spans="1:9" x14ac:dyDescent="0.35">
      <c r="A185" t="str">
        <v>CUST0016</v>
      </c>
      <c r="B185" s="3">
        <f ca="1">TODAY()-Sheet1!B185</f>
        <v>59</v>
      </c>
      <c r="C185" s="3">
        <f>COUNTIFS(Sheet1!A185:A1184,A185)</f>
        <v>3</v>
      </c>
      <c r="D185" s="4">
        <v>6303.67</v>
      </c>
      <c r="E185" cm="1">
        <f t="array" aca="1" ref="E185" ca="1">_xlfn.IFS(B185&lt;=30,5,B185&lt;=60,4,B185&lt;=90,3,B185&lt;=120,2,TRUE,1)</f>
        <v>4</v>
      </c>
      <c r="F185" cm="1">
        <f t="array" ref="F185">_xlfn.IFS(C185&gt;=8,5,C185&gt;=5,4,C185&gt;=3,3,C185&gt;=2,2,TRUE,1)</f>
        <v>3</v>
      </c>
      <c r="G185" cm="1">
        <f t="array" ref="G185">_xlfn.IFS(D185&gt;=15000,5,D185&gt;=8000,4,D185&gt;=3000,3,D185&gt;=1000,2,TRUE,1)</f>
        <v>3</v>
      </c>
      <c r="H185" t="str">
        <f t="shared" ca="1" si="2"/>
        <v>433</v>
      </c>
      <c r="I185" t="str" cm="1">
        <f t="array" aca="1" ref="I185" ca="1">_xlfn.IFS(
  H185="555","Champions",
  VALUE(LEFT(H185,2))&gt;=54,"Loyal Customers",
  VALUE(LEFT(H185,1))&gt;=4,"Potential Loyalists",
  VALUE(RIGHT(H185,2))&gt;=45,"New Customers",
  VALUE(LEFT(H185,1))&lt;=2,"At Risk",
  VALUE(LEFT(H185,1))&lt;=1,"Can't Lose",
  TRUE,"Others"
)</f>
        <v>Potential Loyalists</v>
      </c>
    </row>
    <row r="186" spans="1:9" x14ac:dyDescent="0.35">
      <c r="A186" t="str">
        <v>CUST0171</v>
      </c>
      <c r="B186" s="3">
        <f ca="1">TODAY()-Sheet1!B186</f>
        <v>72</v>
      </c>
      <c r="C186" s="3">
        <f>COUNTIFS(Sheet1!A186:A1185,A186)</f>
        <v>1</v>
      </c>
      <c r="D186" s="4">
        <v>8152.7300000000005</v>
      </c>
      <c r="E186" cm="1">
        <f t="array" aca="1" ref="E186" ca="1">_xlfn.IFS(B186&lt;=30,5,B186&lt;=60,4,B186&lt;=90,3,B186&lt;=120,2,TRUE,1)</f>
        <v>3</v>
      </c>
      <c r="F186" cm="1">
        <f t="array" ref="F186">_xlfn.IFS(C186&gt;=8,5,C186&gt;=5,4,C186&gt;=3,3,C186&gt;=2,2,TRUE,1)</f>
        <v>1</v>
      </c>
      <c r="G186" cm="1">
        <f t="array" ref="G186">_xlfn.IFS(D186&gt;=15000,5,D186&gt;=8000,4,D186&gt;=3000,3,D186&gt;=1000,2,TRUE,1)</f>
        <v>4</v>
      </c>
      <c r="H186" t="str">
        <f t="shared" ca="1" si="2"/>
        <v>314</v>
      </c>
      <c r="I186" t="str" cm="1">
        <f t="array" aca="1" ref="I186" ca="1">_xlfn.IFS(
  H186="555","Champions",
  VALUE(LEFT(H186,2))&gt;=54,"Loyal Customers",
  VALUE(LEFT(H186,1))&gt;=4,"Potential Loyalists",
  VALUE(RIGHT(H186,2))&gt;=45,"New Customers",
  VALUE(LEFT(H186,1))&lt;=2,"At Risk",
  VALUE(LEFT(H186,1))&lt;=1,"Can't Lose",
  TRUE,"Others"
)</f>
        <v>Others</v>
      </c>
    </row>
    <row r="187" spans="1:9" x14ac:dyDescent="0.35">
      <c r="A187" t="str">
        <v>CUST0094</v>
      </c>
      <c r="B187" s="3">
        <f ca="1">TODAY()-Sheet1!B187</f>
        <v>108</v>
      </c>
      <c r="C187" s="3">
        <f>COUNTIFS(Sheet1!A187:A1186,A187)</f>
        <v>2</v>
      </c>
      <c r="D187" s="4">
        <v>7961.75</v>
      </c>
      <c r="E187" cm="1">
        <f t="array" aca="1" ref="E187" ca="1">_xlfn.IFS(B187&lt;=30,5,B187&lt;=60,4,B187&lt;=90,3,B187&lt;=120,2,TRUE,1)</f>
        <v>2</v>
      </c>
      <c r="F187" cm="1">
        <f t="array" ref="F187">_xlfn.IFS(C187&gt;=8,5,C187&gt;=5,4,C187&gt;=3,3,C187&gt;=2,2,TRUE,1)</f>
        <v>2</v>
      </c>
      <c r="G187" cm="1">
        <f t="array" ref="G187">_xlfn.IFS(D187&gt;=15000,5,D187&gt;=8000,4,D187&gt;=3000,3,D187&gt;=1000,2,TRUE,1)</f>
        <v>3</v>
      </c>
      <c r="H187" t="str">
        <f t="shared" ca="1" si="2"/>
        <v>223</v>
      </c>
      <c r="I187" t="str" cm="1">
        <f t="array" aca="1" ref="I187" ca="1">_xlfn.IFS(
  H187="555","Champions",
  VALUE(LEFT(H187,2))&gt;=54,"Loyal Customers",
  VALUE(LEFT(H187,1))&gt;=4,"Potential Loyalists",
  VALUE(RIGHT(H187,2))&gt;=45,"New Customers",
  VALUE(LEFT(H187,1))&lt;=2,"At Risk",
  VALUE(LEFT(H187,1))&lt;=1,"Can't Lose",
  TRUE,"Others"
)</f>
        <v>At Risk</v>
      </c>
    </row>
    <row r="188" spans="1:9" x14ac:dyDescent="0.35">
      <c r="A188" t="str">
        <v>CUST0105</v>
      </c>
      <c r="B188" s="3">
        <f ca="1">TODAY()-Sheet1!B188</f>
        <v>79</v>
      </c>
      <c r="C188" s="3">
        <f>COUNTIFS(Sheet1!A188:A1187,A188)</f>
        <v>2</v>
      </c>
      <c r="D188" s="4">
        <v>2624.55</v>
      </c>
      <c r="E188" cm="1">
        <f t="array" aca="1" ref="E188" ca="1">_xlfn.IFS(B188&lt;=30,5,B188&lt;=60,4,B188&lt;=90,3,B188&lt;=120,2,TRUE,1)</f>
        <v>3</v>
      </c>
      <c r="F188" cm="1">
        <f t="array" ref="F188">_xlfn.IFS(C188&gt;=8,5,C188&gt;=5,4,C188&gt;=3,3,C188&gt;=2,2,TRUE,1)</f>
        <v>2</v>
      </c>
      <c r="G188" cm="1">
        <f t="array" ref="G188">_xlfn.IFS(D188&gt;=15000,5,D188&gt;=8000,4,D188&gt;=3000,3,D188&gt;=1000,2,TRUE,1)</f>
        <v>2</v>
      </c>
      <c r="H188" t="str">
        <f t="shared" ca="1" si="2"/>
        <v>322</v>
      </c>
      <c r="I188" t="str" cm="1">
        <f t="array" aca="1" ref="I188" ca="1">_xlfn.IFS(
  H188="555","Champions",
  VALUE(LEFT(H188,2))&gt;=54,"Loyal Customers",
  VALUE(LEFT(H188,1))&gt;=4,"Potential Loyalists",
  VALUE(RIGHT(H188,2))&gt;=45,"New Customers",
  VALUE(LEFT(H188,1))&lt;=2,"At Risk",
  VALUE(LEFT(H188,1))&lt;=1,"Can't Lose",
  TRUE,"Others"
)</f>
        <v>Others</v>
      </c>
    </row>
    <row r="189" spans="1:9" x14ac:dyDescent="0.35">
      <c r="A189" t="str">
        <v>CUST0135</v>
      </c>
      <c r="B189" s="3">
        <f ca="1">TODAY()-Sheet1!B189</f>
        <v>116</v>
      </c>
      <c r="C189" s="3">
        <f>COUNTIFS(Sheet1!A189:A1188,A189)</f>
        <v>2</v>
      </c>
      <c r="D189" s="4">
        <v>9687.94</v>
      </c>
      <c r="E189" cm="1">
        <f t="array" aca="1" ref="E189" ca="1">_xlfn.IFS(B189&lt;=30,5,B189&lt;=60,4,B189&lt;=90,3,B189&lt;=120,2,TRUE,1)</f>
        <v>2</v>
      </c>
      <c r="F189" cm="1">
        <f t="array" ref="F189">_xlfn.IFS(C189&gt;=8,5,C189&gt;=5,4,C189&gt;=3,3,C189&gt;=2,2,TRUE,1)</f>
        <v>2</v>
      </c>
      <c r="G189" cm="1">
        <f t="array" ref="G189">_xlfn.IFS(D189&gt;=15000,5,D189&gt;=8000,4,D189&gt;=3000,3,D189&gt;=1000,2,TRUE,1)</f>
        <v>4</v>
      </c>
      <c r="H189" t="str">
        <f t="shared" ca="1" si="2"/>
        <v>224</v>
      </c>
      <c r="I189" t="str" cm="1">
        <f t="array" aca="1" ref="I189" ca="1">_xlfn.IFS(
  H189="555","Champions",
  VALUE(LEFT(H189,2))&gt;=54,"Loyal Customers",
  VALUE(LEFT(H189,1))&gt;=4,"Potential Loyalists",
  VALUE(RIGHT(H189,2))&gt;=45,"New Customers",
  VALUE(LEFT(H189,1))&lt;=2,"At Risk",
  VALUE(LEFT(H189,1))&lt;=1,"Can't Lose",
  TRUE,"Others"
)</f>
        <v>At Risk</v>
      </c>
    </row>
    <row r="190" spans="1:9" x14ac:dyDescent="0.35">
      <c r="A190" t="str">
        <v>CUST0096</v>
      </c>
      <c r="B190" s="3">
        <f ca="1">TODAY()-Sheet1!B190</f>
        <v>9</v>
      </c>
      <c r="C190" s="3">
        <f>COUNTIFS(Sheet1!A190:A1189,A190)</f>
        <v>1</v>
      </c>
      <c r="D190" s="4">
        <v>3373.25</v>
      </c>
      <c r="E190" cm="1">
        <f t="array" aca="1" ref="E190" ca="1">_xlfn.IFS(B190&lt;=30,5,B190&lt;=60,4,B190&lt;=90,3,B190&lt;=120,2,TRUE,1)</f>
        <v>5</v>
      </c>
      <c r="F190" cm="1">
        <f t="array" ref="F190">_xlfn.IFS(C190&gt;=8,5,C190&gt;=5,4,C190&gt;=3,3,C190&gt;=2,2,TRUE,1)</f>
        <v>1</v>
      </c>
      <c r="G190" cm="1">
        <f t="array" ref="G190">_xlfn.IFS(D190&gt;=15000,5,D190&gt;=8000,4,D190&gt;=3000,3,D190&gt;=1000,2,TRUE,1)</f>
        <v>3</v>
      </c>
      <c r="H190" t="str">
        <f t="shared" ca="1" si="2"/>
        <v>513</v>
      </c>
      <c r="I190" t="str" cm="1">
        <f t="array" aca="1" ref="I190" ca="1">_xlfn.IFS(
  H190="555","Champions",
  VALUE(LEFT(H190,2))&gt;=54,"Loyal Customers",
  VALUE(LEFT(H190,1))&gt;=4,"Potential Loyalists",
  VALUE(RIGHT(H190,2))&gt;=45,"New Customers",
  VALUE(LEFT(H190,1))&lt;=2,"At Risk",
  VALUE(LEFT(H190,1))&lt;=1,"Can't Lose",
  TRUE,"Others"
)</f>
        <v>Potential Loyalists</v>
      </c>
    </row>
    <row r="191" spans="1:9" x14ac:dyDescent="0.35">
      <c r="A191" t="str">
        <v>CUST0189</v>
      </c>
      <c r="B191" s="3">
        <f ca="1">TODAY()-Sheet1!B191</f>
        <v>87</v>
      </c>
      <c r="C191" s="3">
        <f>COUNTIFS(Sheet1!A191:A1190,A191)</f>
        <v>3</v>
      </c>
      <c r="D191" s="4">
        <v>4482.3900000000003</v>
      </c>
      <c r="E191" cm="1">
        <f t="array" aca="1" ref="E191" ca="1">_xlfn.IFS(B191&lt;=30,5,B191&lt;=60,4,B191&lt;=90,3,B191&lt;=120,2,TRUE,1)</f>
        <v>3</v>
      </c>
      <c r="F191" cm="1">
        <f t="array" ref="F191">_xlfn.IFS(C191&gt;=8,5,C191&gt;=5,4,C191&gt;=3,3,C191&gt;=2,2,TRUE,1)</f>
        <v>3</v>
      </c>
      <c r="G191" cm="1">
        <f t="array" ref="G191">_xlfn.IFS(D191&gt;=15000,5,D191&gt;=8000,4,D191&gt;=3000,3,D191&gt;=1000,2,TRUE,1)</f>
        <v>3</v>
      </c>
      <c r="H191" t="str">
        <f t="shared" ca="1" si="2"/>
        <v>333</v>
      </c>
      <c r="I191" t="str" cm="1">
        <f t="array" aca="1" ref="I191" ca="1">_xlfn.IFS(
  H191="555","Champions",
  VALUE(LEFT(H191,2))&gt;=54,"Loyal Customers",
  VALUE(LEFT(H191,1))&gt;=4,"Potential Loyalists",
  VALUE(RIGHT(H191,2))&gt;=45,"New Customers",
  VALUE(LEFT(H191,1))&lt;=2,"At Risk",
  VALUE(LEFT(H191,1))&lt;=1,"Can't Lose",
  TRUE,"Others"
)</f>
        <v>Others</v>
      </c>
    </row>
    <row r="192" spans="1:9" x14ac:dyDescent="0.35">
      <c r="A192" t="str">
        <v>CUST0143</v>
      </c>
      <c r="B192" s="3">
        <f ca="1">TODAY()-Sheet1!B192</f>
        <v>57</v>
      </c>
      <c r="C192" s="3">
        <f>COUNTIFS(Sheet1!A192:A1191,A192)</f>
        <v>2</v>
      </c>
      <c r="D192" s="4">
        <v>4598.01</v>
      </c>
      <c r="E192" cm="1">
        <f t="array" aca="1" ref="E192" ca="1">_xlfn.IFS(B192&lt;=30,5,B192&lt;=60,4,B192&lt;=90,3,B192&lt;=120,2,TRUE,1)</f>
        <v>4</v>
      </c>
      <c r="F192" cm="1">
        <f t="array" ref="F192">_xlfn.IFS(C192&gt;=8,5,C192&gt;=5,4,C192&gt;=3,3,C192&gt;=2,2,TRUE,1)</f>
        <v>2</v>
      </c>
      <c r="G192" cm="1">
        <f t="array" ref="G192">_xlfn.IFS(D192&gt;=15000,5,D192&gt;=8000,4,D192&gt;=3000,3,D192&gt;=1000,2,TRUE,1)</f>
        <v>3</v>
      </c>
      <c r="H192" t="str">
        <f t="shared" ca="1" si="2"/>
        <v>423</v>
      </c>
      <c r="I192" t="str" cm="1">
        <f t="array" aca="1" ref="I192" ca="1">_xlfn.IFS(
  H192="555","Champions",
  VALUE(LEFT(H192,2))&gt;=54,"Loyal Customers",
  VALUE(LEFT(H192,1))&gt;=4,"Potential Loyalists",
  VALUE(RIGHT(H192,2))&gt;=45,"New Customers",
  VALUE(LEFT(H192,1))&lt;=2,"At Risk",
  VALUE(LEFT(H192,1))&lt;=1,"Can't Lose",
  TRUE,"Others"
)</f>
        <v>Potential Loyalists</v>
      </c>
    </row>
    <row r="193" spans="1:9" x14ac:dyDescent="0.35">
      <c r="A193" t="str">
        <v>CUST0056</v>
      </c>
      <c r="B193" s="3">
        <f ca="1">TODAY()-Sheet1!B193</f>
        <v>105</v>
      </c>
      <c r="C193" s="3">
        <f>COUNTIFS(Sheet1!A193:A1192,A193)</f>
        <v>2</v>
      </c>
      <c r="D193" s="4">
        <v>2875.04</v>
      </c>
      <c r="E193" cm="1">
        <f t="array" aca="1" ref="E193" ca="1">_xlfn.IFS(B193&lt;=30,5,B193&lt;=60,4,B193&lt;=90,3,B193&lt;=120,2,TRUE,1)</f>
        <v>2</v>
      </c>
      <c r="F193" cm="1">
        <f t="array" ref="F193">_xlfn.IFS(C193&gt;=8,5,C193&gt;=5,4,C193&gt;=3,3,C193&gt;=2,2,TRUE,1)</f>
        <v>2</v>
      </c>
      <c r="G193" cm="1">
        <f t="array" ref="G193">_xlfn.IFS(D193&gt;=15000,5,D193&gt;=8000,4,D193&gt;=3000,3,D193&gt;=1000,2,TRUE,1)</f>
        <v>2</v>
      </c>
      <c r="H193" t="str">
        <f t="shared" ca="1" si="2"/>
        <v>222</v>
      </c>
      <c r="I193" t="str" cm="1">
        <f t="array" aca="1" ref="I193" ca="1">_xlfn.IFS(
  H193="555","Champions",
  VALUE(LEFT(H193,2))&gt;=54,"Loyal Customers",
  VALUE(LEFT(H193,1))&gt;=4,"Potential Loyalists",
  VALUE(RIGHT(H193,2))&gt;=45,"New Customers",
  VALUE(LEFT(H193,1))&lt;=2,"At Risk",
  VALUE(LEFT(H193,1))&lt;=1,"Can't Lose",
  TRUE,"Others"
)</f>
        <v>At Risk</v>
      </c>
    </row>
    <row r="194" spans="1:9" x14ac:dyDescent="0.35">
      <c r="A194" t="str">
        <v>CUST0032</v>
      </c>
      <c r="B194" s="3">
        <f ca="1">TODAY()-Sheet1!B194</f>
        <v>34</v>
      </c>
      <c r="C194" s="3">
        <f>COUNTIFS(Sheet1!A194:A1193,A194)</f>
        <v>4</v>
      </c>
      <c r="D194" s="4">
        <v>5432.33</v>
      </c>
      <c r="E194" cm="1">
        <f t="array" aca="1" ref="E194" ca="1">_xlfn.IFS(B194&lt;=30,5,B194&lt;=60,4,B194&lt;=90,3,B194&lt;=120,2,TRUE,1)</f>
        <v>4</v>
      </c>
      <c r="F194" cm="1">
        <f t="array" ref="F194">_xlfn.IFS(C194&gt;=8,5,C194&gt;=5,4,C194&gt;=3,3,C194&gt;=2,2,TRUE,1)</f>
        <v>3</v>
      </c>
      <c r="G194" cm="1">
        <f t="array" ref="G194">_xlfn.IFS(D194&gt;=15000,5,D194&gt;=8000,4,D194&gt;=3000,3,D194&gt;=1000,2,TRUE,1)</f>
        <v>3</v>
      </c>
      <c r="H194" t="str">
        <f t="shared" ca="1" si="2"/>
        <v>433</v>
      </c>
      <c r="I194" t="str" cm="1">
        <f t="array" aca="1" ref="I194" ca="1">_xlfn.IFS(
  H194="555","Champions",
  VALUE(LEFT(H194,2))&gt;=54,"Loyal Customers",
  VALUE(LEFT(H194,1))&gt;=4,"Potential Loyalists",
  VALUE(RIGHT(H194,2))&gt;=45,"New Customers",
  VALUE(LEFT(H194,1))&lt;=2,"At Risk",
  VALUE(LEFT(H194,1))&lt;=1,"Can't Lose",
  TRUE,"Others"
)</f>
        <v>Potential Loyalists</v>
      </c>
    </row>
    <row r="195" spans="1:9" x14ac:dyDescent="0.35">
      <c r="A195" t="str">
        <v>CUST0035</v>
      </c>
      <c r="B195" s="3">
        <f ca="1">TODAY()-Sheet1!B195</f>
        <v>10</v>
      </c>
      <c r="C195" s="3">
        <f>COUNTIFS(Sheet1!A195:A1194,A195)</f>
        <v>2</v>
      </c>
      <c r="D195" s="4">
        <v>4733.54</v>
      </c>
      <c r="E195" cm="1">
        <f t="array" aca="1" ref="E195" ca="1">_xlfn.IFS(B195&lt;=30,5,B195&lt;=60,4,B195&lt;=90,3,B195&lt;=120,2,TRUE,1)</f>
        <v>5</v>
      </c>
      <c r="F195" cm="1">
        <f t="array" ref="F195">_xlfn.IFS(C195&gt;=8,5,C195&gt;=5,4,C195&gt;=3,3,C195&gt;=2,2,TRUE,1)</f>
        <v>2</v>
      </c>
      <c r="G195" cm="1">
        <f t="array" ref="G195">_xlfn.IFS(D195&gt;=15000,5,D195&gt;=8000,4,D195&gt;=3000,3,D195&gt;=1000,2,TRUE,1)</f>
        <v>3</v>
      </c>
      <c r="H195" t="str">
        <f t="shared" ref="H195:H200" ca="1" si="3">E195&amp;F195&amp;G195</f>
        <v>523</v>
      </c>
      <c r="I195" t="str" cm="1">
        <f t="array" aca="1" ref="I195" ca="1">_xlfn.IFS(
  H195="555","Champions",
  VALUE(LEFT(H195,2))&gt;=54,"Loyal Customers",
  VALUE(LEFT(H195,1))&gt;=4,"Potential Loyalists",
  VALUE(RIGHT(H195,2))&gt;=45,"New Customers",
  VALUE(LEFT(H195,1))&lt;=2,"At Risk",
  VALUE(LEFT(H195,1))&lt;=1,"Can't Lose",
  TRUE,"Others"
)</f>
        <v>Potential Loyalists</v>
      </c>
    </row>
    <row r="196" spans="1:9" x14ac:dyDescent="0.35">
      <c r="A196" t="str">
        <v>CUST0048</v>
      </c>
      <c r="B196" s="3">
        <f ca="1">TODAY()-Sheet1!B196</f>
        <v>11</v>
      </c>
      <c r="C196" s="3">
        <f>COUNTIFS(Sheet1!A196:A1195,A196)</f>
        <v>3</v>
      </c>
      <c r="D196" s="4">
        <v>4788.5</v>
      </c>
      <c r="E196" cm="1">
        <f t="array" aca="1" ref="E196" ca="1">_xlfn.IFS(B196&lt;=30,5,B196&lt;=60,4,B196&lt;=90,3,B196&lt;=120,2,TRUE,1)</f>
        <v>5</v>
      </c>
      <c r="F196" cm="1">
        <f t="array" ref="F196">_xlfn.IFS(C196&gt;=8,5,C196&gt;=5,4,C196&gt;=3,3,C196&gt;=2,2,TRUE,1)</f>
        <v>3</v>
      </c>
      <c r="G196" cm="1">
        <f t="array" ref="G196">_xlfn.IFS(D196&gt;=15000,5,D196&gt;=8000,4,D196&gt;=3000,3,D196&gt;=1000,2,TRUE,1)</f>
        <v>3</v>
      </c>
      <c r="H196" t="str">
        <f t="shared" ca="1" si="3"/>
        <v>533</v>
      </c>
      <c r="I196" t="str" cm="1">
        <f t="array" aca="1" ref="I196" ca="1">_xlfn.IFS(
  H196="555","Champions",
  VALUE(LEFT(H196,2))&gt;=54,"Loyal Customers",
  VALUE(LEFT(H196,1))&gt;=4,"Potential Loyalists",
  VALUE(RIGHT(H196,2))&gt;=45,"New Customers",
  VALUE(LEFT(H196,1))&lt;=2,"At Risk",
  VALUE(LEFT(H196,1))&lt;=1,"Can't Lose",
  TRUE,"Others"
)</f>
        <v>Potential Loyalists</v>
      </c>
    </row>
    <row r="197" spans="1:9" x14ac:dyDescent="0.35">
      <c r="A197" t="str">
        <v>CUST0021</v>
      </c>
      <c r="B197" s="3">
        <f ca="1">TODAY()-Sheet1!B197</f>
        <v>19</v>
      </c>
      <c r="C197" s="3">
        <f>COUNTIFS(Sheet1!A197:A1196,A197)</f>
        <v>1</v>
      </c>
      <c r="D197" s="4">
        <v>339.26</v>
      </c>
      <c r="E197" cm="1">
        <f t="array" aca="1" ref="E197" ca="1">_xlfn.IFS(B197&lt;=30,5,B197&lt;=60,4,B197&lt;=90,3,B197&lt;=120,2,TRUE,1)</f>
        <v>5</v>
      </c>
      <c r="F197" cm="1">
        <f t="array" ref="F197">_xlfn.IFS(C197&gt;=8,5,C197&gt;=5,4,C197&gt;=3,3,C197&gt;=2,2,TRUE,1)</f>
        <v>1</v>
      </c>
      <c r="G197" cm="1">
        <f t="array" ref="G197">_xlfn.IFS(D197&gt;=15000,5,D197&gt;=8000,4,D197&gt;=3000,3,D197&gt;=1000,2,TRUE,1)</f>
        <v>1</v>
      </c>
      <c r="H197" t="str">
        <f t="shared" ca="1" si="3"/>
        <v>511</v>
      </c>
      <c r="I197" t="str" cm="1">
        <f t="array" aca="1" ref="I197" ca="1">_xlfn.IFS(
  H197="555","Champions",
  VALUE(LEFT(H197,2))&gt;=54,"Loyal Customers",
  VALUE(LEFT(H197,1))&gt;=4,"Potential Loyalists",
  VALUE(RIGHT(H197,2))&gt;=45,"New Customers",
  VALUE(LEFT(H197,1))&lt;=2,"At Risk",
  VALUE(LEFT(H197,1))&lt;=1,"Can't Lose",
  TRUE,"Others"
)</f>
        <v>Potential Loyalists</v>
      </c>
    </row>
    <row r="198" spans="1:9" x14ac:dyDescent="0.35">
      <c r="A198" t="str">
        <v>CUST0006</v>
      </c>
      <c r="B198" s="3">
        <f ca="1">TODAY()-Sheet1!B198</f>
        <v>29</v>
      </c>
      <c r="C198" s="3">
        <f>COUNTIFS(Sheet1!A198:A1197,A198)</f>
        <v>3</v>
      </c>
      <c r="D198" s="4">
        <v>4397.3900000000003</v>
      </c>
      <c r="E198" cm="1">
        <f t="array" aca="1" ref="E198" ca="1">_xlfn.IFS(B198&lt;=30,5,B198&lt;=60,4,B198&lt;=90,3,B198&lt;=120,2,TRUE,1)</f>
        <v>5</v>
      </c>
      <c r="F198" cm="1">
        <f t="array" ref="F198">_xlfn.IFS(C198&gt;=8,5,C198&gt;=5,4,C198&gt;=3,3,C198&gt;=2,2,TRUE,1)</f>
        <v>3</v>
      </c>
      <c r="G198" cm="1">
        <f t="array" ref="G198">_xlfn.IFS(D198&gt;=15000,5,D198&gt;=8000,4,D198&gt;=3000,3,D198&gt;=1000,2,TRUE,1)</f>
        <v>3</v>
      </c>
      <c r="H198" t="str">
        <f t="shared" ca="1" si="3"/>
        <v>533</v>
      </c>
      <c r="I198" t="str" cm="1">
        <f t="array" aca="1" ref="I198" ca="1">_xlfn.IFS(
  H198="555","Champions",
  VALUE(LEFT(H198,2))&gt;=54,"Loyal Customers",
  VALUE(LEFT(H198,1))&gt;=4,"Potential Loyalists",
  VALUE(RIGHT(H198,2))&gt;=45,"New Customers",
  VALUE(LEFT(H198,1))&lt;=2,"At Risk",
  VALUE(LEFT(H198,1))&lt;=1,"Can't Lose",
  TRUE,"Others"
)</f>
        <v>Potential Loyalists</v>
      </c>
    </row>
    <row r="199" spans="1:9" x14ac:dyDescent="0.35">
      <c r="A199" t="str">
        <v>CUST0156</v>
      </c>
      <c r="B199" s="3">
        <f ca="1">TODAY()-Sheet1!B199</f>
        <v>97</v>
      </c>
      <c r="C199" s="3">
        <f>COUNTIFS(Sheet1!A199:A1198,A199)</f>
        <v>2</v>
      </c>
      <c r="D199" s="4">
        <v>1608.14</v>
      </c>
      <c r="E199" cm="1">
        <f t="array" aca="1" ref="E199" ca="1">_xlfn.IFS(B199&lt;=30,5,B199&lt;=60,4,B199&lt;=90,3,B199&lt;=120,2,TRUE,1)</f>
        <v>2</v>
      </c>
      <c r="F199" cm="1">
        <f t="array" ref="F199">_xlfn.IFS(C199&gt;=8,5,C199&gt;=5,4,C199&gt;=3,3,C199&gt;=2,2,TRUE,1)</f>
        <v>2</v>
      </c>
      <c r="G199" cm="1">
        <f t="array" ref="G199">_xlfn.IFS(D199&gt;=15000,5,D199&gt;=8000,4,D199&gt;=3000,3,D199&gt;=1000,2,TRUE,1)</f>
        <v>2</v>
      </c>
      <c r="H199" t="str">
        <f t="shared" ca="1" si="3"/>
        <v>222</v>
      </c>
      <c r="I199" t="str" cm="1">
        <f t="array" aca="1" ref="I199" ca="1">_xlfn.IFS(
  H199="555","Champions",
  VALUE(LEFT(H199,2))&gt;=54,"Loyal Customers",
  VALUE(LEFT(H199,1))&gt;=4,"Potential Loyalists",
  VALUE(RIGHT(H199,2))&gt;=45,"New Customers",
  VALUE(LEFT(H199,1))&lt;=2,"At Risk",
  VALUE(LEFT(H199,1))&lt;=1,"Can't Lose",
  TRUE,"Others"
)</f>
        <v>At Risk</v>
      </c>
    </row>
    <row r="200" spans="1:9" x14ac:dyDescent="0.35">
      <c r="A200" t="str">
        <v>CUST0089</v>
      </c>
      <c r="B200" s="3">
        <f ca="1">TODAY()-Sheet1!B200</f>
        <v>34</v>
      </c>
      <c r="C200" s="3">
        <f>COUNTIFS(Sheet1!A200:A1199,A200)</f>
        <v>1</v>
      </c>
      <c r="D200" s="4">
        <v>8604.42</v>
      </c>
      <c r="E200" cm="1">
        <f t="array" aca="1" ref="E200" ca="1">_xlfn.IFS(B200&lt;=30,5,B200&lt;=60,4,B200&lt;=90,3,B200&lt;=120,2,TRUE,1)</f>
        <v>4</v>
      </c>
      <c r="F200" cm="1">
        <f t="array" ref="F200">_xlfn.IFS(C200&gt;=8,5,C200&gt;=5,4,C200&gt;=3,3,C200&gt;=2,2,TRUE,1)</f>
        <v>1</v>
      </c>
      <c r="G200" cm="1">
        <f t="array" ref="G200">_xlfn.IFS(D200&gt;=15000,5,D200&gt;=8000,4,D200&gt;=3000,3,D200&gt;=1000,2,TRUE,1)</f>
        <v>4</v>
      </c>
      <c r="H200" t="str">
        <f t="shared" ca="1" si="3"/>
        <v>414</v>
      </c>
      <c r="I200" t="str" cm="1">
        <f t="array" aca="1" ref="I200" ca="1">_xlfn.IFS(
  H200="555","Champions",
  VALUE(LEFT(H200,2))&gt;=54,"Loyal Customers",
  VALUE(LEFT(H200,1))&gt;=4,"Potential Loyalists",
  VALUE(RIGHT(H200,2))&gt;=45,"New Customers",
  VALUE(LEFT(H200,1))&lt;=2,"At Risk",
  VALUE(LEFT(H200,1))&lt;=1,"Can't Lose",
  TRUE,"Others"
)</f>
        <v>Potential Loyalists</v>
      </c>
    </row>
    <row r="201" spans="1:9" x14ac:dyDescent="0.35">
      <c r="A20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AAFAA-F913-4C35-AF50-43FB6C8F0097}">
  <dimension ref="A2:P101"/>
  <sheetViews>
    <sheetView tabSelected="1" zoomScale="51" zoomScaleNormal="25" workbookViewId="0">
      <selection activeCell="D95" sqref="D95:P101"/>
    </sheetView>
  </sheetViews>
  <sheetFormatPr defaultRowHeight="14.5" x14ac:dyDescent="0.35"/>
  <cols>
    <col min="1" max="1" width="20.26953125" customWidth="1"/>
    <col min="2" max="2" width="15.7265625" bestFit="1" customWidth="1"/>
    <col min="3" max="3" width="15.453125" bestFit="1" customWidth="1"/>
    <col min="4" max="4" width="16.1796875" bestFit="1" customWidth="1"/>
    <col min="5" max="6" width="8.81640625" bestFit="1" customWidth="1"/>
    <col min="7" max="8" width="9.81640625" bestFit="1" customWidth="1"/>
    <col min="9" max="9" width="8.81640625" bestFit="1" customWidth="1"/>
    <col min="10" max="13" width="9.81640625" bestFit="1" customWidth="1"/>
    <col min="14" max="14" width="8.81640625" bestFit="1" customWidth="1"/>
    <col min="15" max="15" width="6.7265625" bestFit="1" customWidth="1"/>
    <col min="16" max="16" width="10.81640625" bestFit="1" customWidth="1"/>
  </cols>
  <sheetData>
    <row r="2" spans="1:3" x14ac:dyDescent="0.35">
      <c r="A2" t="s">
        <v>599</v>
      </c>
      <c r="B2">
        <f ca="1">COUNTIF(Customer_RFM!I2:I200,A2)</f>
        <v>9</v>
      </c>
      <c r="C2" s="5">
        <f ca="1">B2/SUM(B$2:B$8)*100</f>
        <v>4.5685279187817258</v>
      </c>
    </row>
    <row r="3" spans="1:3" x14ac:dyDescent="0.35">
      <c r="A3" t="s">
        <v>591</v>
      </c>
      <c r="B3">
        <f ca="1">COUNTIF(Customer_RFM!I3:I200,A3)</f>
        <v>51</v>
      </c>
      <c r="C3" s="5">
        <f t="shared" ref="C3:C8" ca="1" si="0">B3/SUM(B$2:B$8)*100</f>
        <v>25.888324873096447</v>
      </c>
    </row>
    <row r="4" spans="1:3" x14ac:dyDescent="0.35">
      <c r="A4" t="s">
        <v>592</v>
      </c>
      <c r="B4">
        <f ca="1">COUNTIF(Customer_RFM!I4:I201,A4)</f>
        <v>90</v>
      </c>
      <c r="C4" s="5">
        <f t="shared" ca="1" si="0"/>
        <v>45.685279187817258</v>
      </c>
    </row>
    <row r="5" spans="1:3" x14ac:dyDescent="0.35">
      <c r="A5" t="s">
        <v>593</v>
      </c>
      <c r="B5">
        <f ca="1">COUNTIF(Customer_RFM!I5:I202,A5)</f>
        <v>10</v>
      </c>
      <c r="C5" s="5">
        <f t="shared" ca="1" si="0"/>
        <v>5.0761421319796955</v>
      </c>
    </row>
    <row r="6" spans="1:3" x14ac:dyDescent="0.35">
      <c r="A6" t="s">
        <v>594</v>
      </c>
      <c r="B6">
        <f ca="1">COUNTIF(Customer_RFM!I6:I203,A6)</f>
        <v>9</v>
      </c>
      <c r="C6" s="5">
        <f t="shared" ca="1" si="0"/>
        <v>4.5685279187817258</v>
      </c>
    </row>
    <row r="7" spans="1:3" x14ac:dyDescent="0.35">
      <c r="A7" t="s">
        <v>595</v>
      </c>
      <c r="B7">
        <f ca="1">COUNTIF(Customer_RFM!I7:I204,A7)</f>
        <v>0</v>
      </c>
      <c r="C7" s="5">
        <f t="shared" ca="1" si="0"/>
        <v>0</v>
      </c>
    </row>
    <row r="8" spans="1:3" x14ac:dyDescent="0.35">
      <c r="A8" t="s">
        <v>596</v>
      </c>
      <c r="B8">
        <f ca="1">COUNTIF(Customer_RFM!I8:I205,A8)</f>
        <v>28</v>
      </c>
      <c r="C8" s="5">
        <f t="shared" ca="1" si="0"/>
        <v>14.213197969543149</v>
      </c>
    </row>
    <row r="9" spans="1:3" x14ac:dyDescent="0.35">
      <c r="C9" s="5"/>
    </row>
    <row r="10" spans="1:3" x14ac:dyDescent="0.35">
      <c r="A10" s="8" t="s">
        <v>600</v>
      </c>
      <c r="B10" s="8"/>
      <c r="C10" s="8"/>
    </row>
    <row r="11" spans="1:3" x14ac:dyDescent="0.35">
      <c r="A11" t="s">
        <v>601</v>
      </c>
      <c r="B11" s="8">
        <f>COUNTA(Customer_RFM!A2:A200)</f>
        <v>199</v>
      </c>
      <c r="C11" s="8"/>
    </row>
    <row r="12" spans="1:3" x14ac:dyDescent="0.35">
      <c r="A12" t="s">
        <v>593</v>
      </c>
      <c r="B12">
        <f ca="1">COUNTIF(Customer_RFM!I:I,"new customers")</f>
        <v>10</v>
      </c>
    </row>
    <row r="13" spans="1:3" x14ac:dyDescent="0.35">
      <c r="A13" t="s">
        <v>602</v>
      </c>
      <c r="B13">
        <f>199-48</f>
        <v>151</v>
      </c>
    </row>
    <row r="14" spans="1:3" x14ac:dyDescent="0.35">
      <c r="A14" t="s">
        <v>603</v>
      </c>
      <c r="B14">
        <f>151/199*100</f>
        <v>75.879396984924625</v>
      </c>
    </row>
    <row r="17" spans="2:10" x14ac:dyDescent="0.35">
      <c r="F17" s="9" t="s">
        <v>604</v>
      </c>
      <c r="G17" s="10"/>
      <c r="H17" s="10"/>
      <c r="I17" s="10"/>
      <c r="J17" s="10"/>
    </row>
    <row r="18" spans="2:10" x14ac:dyDescent="0.35">
      <c r="F18" s="10"/>
      <c r="G18" s="10"/>
      <c r="H18" s="10"/>
      <c r="I18" s="10"/>
      <c r="J18" s="10"/>
    </row>
    <row r="19" spans="2:10" x14ac:dyDescent="0.35">
      <c r="F19" s="10"/>
      <c r="G19" s="10"/>
      <c r="H19" s="10"/>
      <c r="I19" s="10"/>
      <c r="J19" s="10"/>
    </row>
    <row r="22" spans="2:10" x14ac:dyDescent="0.35">
      <c r="B22" s="12" t="s">
        <v>605</v>
      </c>
      <c r="C22" t="s">
        <v>612</v>
      </c>
    </row>
    <row r="23" spans="2:10" x14ac:dyDescent="0.35">
      <c r="B23" s="13" t="s">
        <v>606</v>
      </c>
      <c r="C23" s="11">
        <v>60</v>
      </c>
    </row>
    <row r="24" spans="2:10" x14ac:dyDescent="0.35">
      <c r="B24" s="13" t="s">
        <v>599</v>
      </c>
      <c r="C24" s="11">
        <v>5</v>
      </c>
    </row>
    <row r="25" spans="2:10" x14ac:dyDescent="0.35">
      <c r="B25" s="13" t="s">
        <v>607</v>
      </c>
      <c r="C25" s="11">
        <v>12</v>
      </c>
    </row>
    <row r="26" spans="2:10" x14ac:dyDescent="0.35">
      <c r="B26" s="13" t="s">
        <v>608</v>
      </c>
      <c r="C26" s="11">
        <v>49</v>
      </c>
    </row>
    <row r="27" spans="2:10" x14ac:dyDescent="0.35">
      <c r="B27" s="13" t="s">
        <v>609</v>
      </c>
      <c r="C27" s="11">
        <v>21</v>
      </c>
    </row>
    <row r="28" spans="2:10" x14ac:dyDescent="0.35">
      <c r="B28" s="13" t="s">
        <v>610</v>
      </c>
      <c r="C28" s="11">
        <v>53</v>
      </c>
    </row>
    <row r="29" spans="2:10" x14ac:dyDescent="0.35">
      <c r="B29" s="13" t="s">
        <v>611</v>
      </c>
      <c r="C29" s="11">
        <v>200</v>
      </c>
    </row>
    <row r="35" spans="2:10" x14ac:dyDescent="0.35">
      <c r="D35" s="14" t="s">
        <v>613</v>
      </c>
      <c r="E35" s="15"/>
      <c r="F35" s="15"/>
      <c r="G35" s="15"/>
      <c r="H35" s="15"/>
      <c r="I35" s="15"/>
      <c r="J35" s="15"/>
    </row>
    <row r="36" spans="2:10" x14ac:dyDescent="0.35">
      <c r="D36" s="15"/>
      <c r="E36" s="15"/>
      <c r="F36" s="15"/>
      <c r="G36" s="15"/>
      <c r="H36" s="15"/>
      <c r="I36" s="15"/>
      <c r="J36" s="15"/>
    </row>
    <row r="37" spans="2:10" x14ac:dyDescent="0.35">
      <c r="D37" s="15"/>
      <c r="E37" s="15"/>
      <c r="F37" s="15"/>
      <c r="G37" s="15"/>
      <c r="H37" s="15"/>
      <c r="I37" s="15"/>
      <c r="J37" s="15"/>
    </row>
    <row r="40" spans="2:10" x14ac:dyDescent="0.35">
      <c r="B40" s="12" t="s">
        <v>605</v>
      </c>
      <c r="C40" t="s">
        <v>614</v>
      </c>
    </row>
    <row r="41" spans="2:10" x14ac:dyDescent="0.35">
      <c r="B41" s="13" t="s">
        <v>606</v>
      </c>
      <c r="C41" s="11">
        <v>504887.44999999972</v>
      </c>
    </row>
    <row r="42" spans="2:10" x14ac:dyDescent="0.35">
      <c r="B42" s="13" t="s">
        <v>599</v>
      </c>
      <c r="C42" s="11">
        <v>108870.54000000001</v>
      </c>
    </row>
    <row r="43" spans="2:10" x14ac:dyDescent="0.35">
      <c r="B43" s="13" t="s">
        <v>607</v>
      </c>
      <c r="C43" s="11">
        <v>171560.8</v>
      </c>
    </row>
    <row r="44" spans="2:10" x14ac:dyDescent="0.35">
      <c r="B44" s="13" t="s">
        <v>608</v>
      </c>
      <c r="C44" s="11">
        <v>979029.12999999989</v>
      </c>
    </row>
    <row r="45" spans="2:10" x14ac:dyDescent="0.35">
      <c r="B45" s="13" t="s">
        <v>609</v>
      </c>
      <c r="C45" s="11">
        <v>184070.67000000004</v>
      </c>
    </row>
    <row r="46" spans="2:10" x14ac:dyDescent="0.35">
      <c r="B46" s="13" t="s">
        <v>610</v>
      </c>
      <c r="C46" s="11">
        <v>589492.67000000004</v>
      </c>
    </row>
    <row r="47" spans="2:10" x14ac:dyDescent="0.35">
      <c r="B47" s="13" t="s">
        <v>611</v>
      </c>
      <c r="C47" s="11">
        <v>2537911.2599999998</v>
      </c>
    </row>
    <row r="60" spans="4:12" ht="33.5" x14ac:dyDescent="0.75">
      <c r="D60" s="16" t="s">
        <v>615</v>
      </c>
      <c r="E60" s="17"/>
      <c r="F60" s="17"/>
      <c r="G60" s="17"/>
      <c r="H60" s="17"/>
      <c r="I60" s="17"/>
      <c r="J60" s="17"/>
      <c r="K60" s="17"/>
      <c r="L60" s="17"/>
    </row>
    <row r="61" spans="4:12" x14ac:dyDescent="0.35">
      <c r="D61" s="17"/>
      <c r="E61" s="17"/>
      <c r="F61" s="17"/>
      <c r="G61" s="17"/>
      <c r="H61" s="17"/>
      <c r="I61" s="17"/>
      <c r="J61" s="17"/>
      <c r="K61" s="17"/>
      <c r="L61" s="17"/>
    </row>
    <row r="62" spans="4:12" x14ac:dyDescent="0.35">
      <c r="D62" s="17"/>
      <c r="E62" s="17"/>
      <c r="F62" s="17"/>
      <c r="G62" s="17"/>
      <c r="H62" s="17"/>
      <c r="I62" s="17"/>
      <c r="J62" s="17"/>
      <c r="K62" s="17"/>
      <c r="L62" s="17"/>
    </row>
    <row r="63" spans="4:12" x14ac:dyDescent="0.35">
      <c r="D63" s="17"/>
      <c r="E63" s="17"/>
      <c r="F63" s="17"/>
      <c r="G63" s="17"/>
      <c r="H63" s="17"/>
      <c r="I63" s="17"/>
      <c r="J63" s="17"/>
      <c r="K63" s="17"/>
      <c r="L63" s="17"/>
    </row>
    <row r="64" spans="4:12" x14ac:dyDescent="0.35">
      <c r="D64" s="17"/>
      <c r="E64" s="17"/>
      <c r="F64" s="17"/>
      <c r="G64" s="17"/>
      <c r="H64" s="17"/>
      <c r="I64" s="17"/>
      <c r="J64" s="17"/>
      <c r="K64" s="17"/>
      <c r="L64" s="17"/>
    </row>
    <row r="95" spans="4:16" x14ac:dyDescent="0.35">
      <c r="D95" s="19" t="s">
        <v>617</v>
      </c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</row>
    <row r="96" spans="4:16" x14ac:dyDescent="0.35"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</row>
    <row r="97" spans="4:16" x14ac:dyDescent="0.35"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</row>
    <row r="98" spans="4:16" x14ac:dyDescent="0.35"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</row>
    <row r="99" spans="4:16" x14ac:dyDescent="0.35"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</row>
    <row r="100" spans="4:16" x14ac:dyDescent="0.35"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</row>
    <row r="101" spans="4:16" x14ac:dyDescent="0.35"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</row>
  </sheetData>
  <mergeCells count="6">
    <mergeCell ref="D60:L64"/>
    <mergeCell ref="D95:P101"/>
    <mergeCell ref="A10:C10"/>
    <mergeCell ref="B11:C11"/>
    <mergeCell ref="F17:J19"/>
    <mergeCell ref="D35:J37"/>
  </mergeCell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Customer_RFM</vt:lpstr>
      <vt:lpstr>Segment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Bayazeed Babu Mylamuri</cp:lastModifiedBy>
  <dcterms:created xsi:type="dcterms:W3CDTF">2025-11-26T04:03:56Z</dcterms:created>
  <dcterms:modified xsi:type="dcterms:W3CDTF">2025-11-27T07:37:54Z</dcterms:modified>
</cp:coreProperties>
</file>