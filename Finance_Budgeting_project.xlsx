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3911899C-D3E4-4A59-8570-E564C36E2EA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etailed" sheetId="1" r:id="rId1"/>
    <sheet name="Monthly" sheetId="2" r:id="rId2"/>
    <sheet name="Quarterly" sheetId="3" r:id="rId3"/>
    <sheet name="project" sheetId="4" r:id="rId4"/>
  </sheets>
  <definedNames>
    <definedName name="_xlnm._FilterDatabase" localSheetId="0" hidden="1">Detailed!$A$1:$J$433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4" i="4" l="1"/>
  <c r="K148" i="4"/>
  <c r="K145" i="4"/>
  <c r="K149" i="4"/>
  <c r="J154" i="4"/>
  <c r="I154" i="4"/>
  <c r="M138" i="4"/>
  <c r="M137" i="4"/>
  <c r="M136" i="4"/>
</calcChain>
</file>

<file path=xl/sharedStrings.xml><?xml version="1.0" encoding="utf-8"?>
<sst xmlns="http://schemas.openxmlformats.org/spreadsheetml/2006/main" count="2369" uniqueCount="122">
  <si>
    <t>Date</t>
  </si>
  <si>
    <t>Month</t>
  </si>
  <si>
    <t>Year</t>
  </si>
  <si>
    <t>Expense Category</t>
  </si>
  <si>
    <t>Department</t>
  </si>
  <si>
    <t>Actual</t>
  </si>
  <si>
    <t>Budget</t>
  </si>
  <si>
    <t>Variance</t>
  </si>
  <si>
    <t>Notes</t>
  </si>
  <si>
    <t>Quarter</t>
  </si>
  <si>
    <t>01/01/2021</t>
  </si>
  <si>
    <t>Jan-21</t>
  </si>
  <si>
    <t>Salaries</t>
  </si>
  <si>
    <t>Administration</t>
  </si>
  <si>
    <t>Q1</t>
  </si>
  <si>
    <t>Marketing</t>
  </si>
  <si>
    <t>Rent</t>
  </si>
  <si>
    <t>Operations</t>
  </si>
  <si>
    <t>Utilities</t>
  </si>
  <si>
    <t>Software Subscriptions</t>
  </si>
  <si>
    <t>Engineering</t>
  </si>
  <si>
    <t>Office Supplies</t>
  </si>
  <si>
    <t>Travel</t>
  </si>
  <si>
    <t>Sales</t>
  </si>
  <si>
    <t>Training</t>
  </si>
  <si>
    <t>Insurance</t>
  </si>
  <si>
    <t>Maintenance</t>
  </si>
  <si>
    <t>Professional Services</t>
  </si>
  <si>
    <t>Equipment</t>
  </si>
  <si>
    <t>02/01/2021</t>
  </si>
  <si>
    <t>Feb-21</t>
  </si>
  <si>
    <t>03/01/2021</t>
  </si>
  <si>
    <t>Mar-21</t>
  </si>
  <si>
    <t>04/01/2021</t>
  </si>
  <si>
    <t>Apr-21</t>
  </si>
  <si>
    <t>Q2</t>
  </si>
  <si>
    <t>05/01/2021</t>
  </si>
  <si>
    <t>May-21</t>
  </si>
  <si>
    <t>06/01/2021</t>
  </si>
  <si>
    <t>Jun-21</t>
  </si>
  <si>
    <t>07/01/2021</t>
  </si>
  <si>
    <t>Jul-21</t>
  </si>
  <si>
    <t>Q3</t>
  </si>
  <si>
    <t>08/01/2021</t>
  </si>
  <si>
    <t>Aug-21</t>
  </si>
  <si>
    <t>09/01/2021</t>
  </si>
  <si>
    <t>Sep-21</t>
  </si>
  <si>
    <t>10/01/2021</t>
  </si>
  <si>
    <t>Oct-21</t>
  </si>
  <si>
    <t>Q4</t>
  </si>
  <si>
    <t>11/01/2021</t>
  </si>
  <si>
    <t>Nov-21</t>
  </si>
  <si>
    <t>12/01/2021</t>
  </si>
  <si>
    <t>Dec-21</t>
  </si>
  <si>
    <t>01/01/2022</t>
  </si>
  <si>
    <t>Jan-22</t>
  </si>
  <si>
    <t>02/01/2022</t>
  </si>
  <si>
    <t>Feb-22</t>
  </si>
  <si>
    <t>03/01/2022</t>
  </si>
  <si>
    <t>Mar-22</t>
  </si>
  <si>
    <t>04/01/2022</t>
  </si>
  <si>
    <t>Apr-22</t>
  </si>
  <si>
    <t>05/01/2022</t>
  </si>
  <si>
    <t>May-22</t>
  </si>
  <si>
    <t>06/01/2022</t>
  </si>
  <si>
    <t>Jun-22</t>
  </si>
  <si>
    <t>07/01/2022</t>
  </si>
  <si>
    <t>Jul-22</t>
  </si>
  <si>
    <t>08/01/2022</t>
  </si>
  <si>
    <t>Aug-22</t>
  </si>
  <si>
    <t>09/01/2022</t>
  </si>
  <si>
    <t>Sep-22</t>
  </si>
  <si>
    <t>10/01/2022</t>
  </si>
  <si>
    <t>Oct-22</t>
  </si>
  <si>
    <t>11/01/2022</t>
  </si>
  <si>
    <t>Nov-22</t>
  </si>
  <si>
    <t>12/01/2022</t>
  </si>
  <si>
    <t>Dec-22</t>
  </si>
  <si>
    <t>01/01/2023</t>
  </si>
  <si>
    <t>Jan-23</t>
  </si>
  <si>
    <t>02/01/2023</t>
  </si>
  <si>
    <t>Feb-23</t>
  </si>
  <si>
    <t>03/01/2023</t>
  </si>
  <si>
    <t>Mar-23</t>
  </si>
  <si>
    <t>04/01/2023</t>
  </si>
  <si>
    <t>Apr-23</t>
  </si>
  <si>
    <t>05/01/2023</t>
  </si>
  <si>
    <t>May-23</t>
  </si>
  <si>
    <t>06/01/2023</t>
  </si>
  <si>
    <t>Jun-23</t>
  </si>
  <si>
    <t>07/01/2023</t>
  </si>
  <si>
    <t>Jul-23</t>
  </si>
  <si>
    <t>08/01/2023</t>
  </si>
  <si>
    <t>Aug-23</t>
  </si>
  <si>
    <t>09/01/2023</t>
  </si>
  <si>
    <t>Sep-23</t>
  </si>
  <si>
    <t>10/01/2023</t>
  </si>
  <si>
    <t>Oct-23</t>
  </si>
  <si>
    <t>11/01/2023</t>
  </si>
  <si>
    <t>Nov-23</t>
  </si>
  <si>
    <t>12/01/2023</t>
  </si>
  <si>
    <t>Dec-23</t>
  </si>
  <si>
    <t>Row Labels</t>
  </si>
  <si>
    <t>Sum of Actual</t>
  </si>
  <si>
    <t>Sum of Budget</t>
  </si>
  <si>
    <t>MONTHLY EXPENSE TRACKER</t>
  </si>
  <si>
    <t>2021 MONTHLY EXPENSES</t>
  </si>
  <si>
    <t>(blank)</t>
  </si>
  <si>
    <t>Grand Total</t>
  </si>
  <si>
    <t>2022 MONTHLY EXPENSES</t>
  </si>
  <si>
    <t>Sum of Variance</t>
  </si>
  <si>
    <t>VARIANCE BY DEPARTMENT/CATEGORY</t>
  </si>
  <si>
    <t>ACTUAL VS BUDGET OVER TIME</t>
  </si>
  <si>
    <t>EXPENCE DISTRIBUTION BY CATEGORY</t>
  </si>
  <si>
    <t>WHAT IF ANALYSIS</t>
  </si>
  <si>
    <t>salaries 10% more</t>
  </si>
  <si>
    <t>marketing 15% less</t>
  </si>
  <si>
    <t>rent 5% more</t>
  </si>
  <si>
    <t xml:space="preserve">actual </t>
  </si>
  <si>
    <t>budget</t>
  </si>
  <si>
    <t>totals</t>
  </si>
  <si>
    <t>what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</si>
</sst>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20"/>
      <color theme="8" tint="-0.249977111117893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b/>
      <sz val="26"/>
      <color theme="5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[Expense_Forecasting_Dataset - Copy.xlsx]project!PivotTable1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project!$C$7</c:f>
              <c:strCache>
                <c:ptCount val="1"/>
                <c:pt idx="0">
                  <c:v>Sum of 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project!$B$8:$B$19</c:f>
              <c:strCache>
                <c:ptCount val="12"/>
                <c:pt idx="0">
                  <c:v>Apr-21</c:v>
                </c:pt>
                <c:pt idx="1">
                  <c:v>Aug-21</c:v>
                </c:pt>
                <c:pt idx="2">
                  <c:v>Dec-21</c:v>
                </c:pt>
                <c:pt idx="3">
                  <c:v>Feb-21</c:v>
                </c:pt>
                <c:pt idx="4">
                  <c:v>Jan-21</c:v>
                </c:pt>
                <c:pt idx="5">
                  <c:v>Jul-21</c:v>
                </c:pt>
                <c:pt idx="6">
                  <c:v>Jun-21</c:v>
                </c:pt>
                <c:pt idx="7">
                  <c:v>Mar-21</c:v>
                </c:pt>
                <c:pt idx="8">
                  <c:v>May-21</c:v>
                </c:pt>
                <c:pt idx="9">
                  <c:v>Nov-21</c:v>
                </c:pt>
                <c:pt idx="10">
                  <c:v>Oct-21</c:v>
                </c:pt>
                <c:pt idx="11">
                  <c:v>Sep-21</c:v>
                </c:pt>
              </c:strCache>
            </c:strRef>
          </c:cat>
          <c:val>
            <c:numRef>
              <c:f>project!$C$8:$C$19</c:f>
              <c:numCache>
                <c:formatCode>General</c:formatCode>
                <c:ptCount val="12"/>
                <c:pt idx="0">
                  <c:v>181487.13</c:v>
                </c:pt>
                <c:pt idx="1">
                  <c:v>172641</c:v>
                </c:pt>
                <c:pt idx="2">
                  <c:v>169015.3</c:v>
                </c:pt>
                <c:pt idx="3">
                  <c:v>171990.30999999997</c:v>
                </c:pt>
                <c:pt idx="4">
                  <c:v>174968.16000000003</c:v>
                </c:pt>
                <c:pt idx="5">
                  <c:v>184805.76999999996</c:v>
                </c:pt>
                <c:pt idx="6">
                  <c:v>175224.77000000005</c:v>
                </c:pt>
                <c:pt idx="7">
                  <c:v>165265.9</c:v>
                </c:pt>
                <c:pt idx="8">
                  <c:v>176065.70999999996</c:v>
                </c:pt>
                <c:pt idx="9">
                  <c:v>176495.90999999997</c:v>
                </c:pt>
                <c:pt idx="10">
                  <c:v>173868.46000000002</c:v>
                </c:pt>
                <c:pt idx="11">
                  <c:v>170196.68000000005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0-4799-905B-98998793E026}"/>
            </c:ext>
          </c:extLst>
        </c:ser>
        <c:ser>
          <c:idx val="1"/>
          <c:order val="1"/>
          <c:tx>
            <c:strRef>
              <c:f>project!$D$7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project!$B$8:$B$19</c:f>
              <c:strCache>
                <c:ptCount val="12"/>
                <c:pt idx="0">
                  <c:v>Apr-21</c:v>
                </c:pt>
                <c:pt idx="1">
                  <c:v>Aug-21</c:v>
                </c:pt>
                <c:pt idx="2">
                  <c:v>Dec-21</c:v>
                </c:pt>
                <c:pt idx="3">
                  <c:v>Feb-21</c:v>
                </c:pt>
                <c:pt idx="4">
                  <c:v>Jan-21</c:v>
                </c:pt>
                <c:pt idx="5">
                  <c:v>Jul-21</c:v>
                </c:pt>
                <c:pt idx="6">
                  <c:v>Jun-21</c:v>
                </c:pt>
                <c:pt idx="7">
                  <c:v>Mar-21</c:v>
                </c:pt>
                <c:pt idx="8">
                  <c:v>May-21</c:v>
                </c:pt>
                <c:pt idx="9">
                  <c:v>Nov-21</c:v>
                </c:pt>
                <c:pt idx="10">
                  <c:v>Oct-21</c:v>
                </c:pt>
                <c:pt idx="11">
                  <c:v>Sep-21</c:v>
                </c:pt>
              </c:strCache>
            </c:strRef>
          </c:cat>
          <c:val>
            <c:numRef>
              <c:f>project!$D$8:$D$19</c:f>
              <c:numCache>
                <c:formatCode>General</c:formatCode>
                <c:ptCount val="12"/>
                <c:pt idx="0">
                  <c:v>172436.76</c:v>
                </c:pt>
                <c:pt idx="1">
                  <c:v>176000.98</c:v>
                </c:pt>
                <c:pt idx="2">
                  <c:v>181156.84999999998</c:v>
                </c:pt>
                <c:pt idx="3">
                  <c:v>172592.96000000002</c:v>
                </c:pt>
                <c:pt idx="4">
                  <c:v>176537.05000000005</c:v>
                </c:pt>
                <c:pt idx="5">
                  <c:v>178305.95</c:v>
                </c:pt>
                <c:pt idx="6">
                  <c:v>178957.11000000002</c:v>
                </c:pt>
                <c:pt idx="7">
                  <c:v>174507.91999999998</c:v>
                </c:pt>
                <c:pt idx="8">
                  <c:v>174038.87999999998</c:v>
                </c:pt>
                <c:pt idx="9">
                  <c:v>176175.84</c:v>
                </c:pt>
                <c:pt idx="10">
                  <c:v>177155.43</c:v>
                </c:pt>
                <c:pt idx="11">
                  <c:v>174321.15999999997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0-4799-905B-98998793E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260080"/>
        <c:axId val="958243760"/>
      </c:barChart>
      <c:catAx>
        <c:axId val="95826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243760"/>
        <c:crosses val="autoZero"/>
        <c:auto val="1"/>
        <c:lblAlgn val="ctr"/>
        <c:lblOffset val="100"/>
        <c:noMultiLvlLbl val="0"/>
      </c:catAx>
      <c:valAx>
        <c:axId val="9582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26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[Expense_Forecasting_Dataset - Copy.xlsx]project!PivotTable2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project!$C$25</c:f>
              <c:strCache>
                <c:ptCount val="1"/>
                <c:pt idx="0">
                  <c:v>Sum of 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project!$B$26:$B$38</c:f>
              <c:strCache>
                <c:ptCount val="12"/>
                <c:pt idx="0">
                  <c:v>Apr-22</c:v>
                </c:pt>
                <c:pt idx="1">
                  <c:v>Aug-22</c:v>
                </c:pt>
                <c:pt idx="2">
                  <c:v>Dec-22</c:v>
                </c:pt>
                <c:pt idx="3">
                  <c:v>Feb-22</c:v>
                </c:pt>
                <c:pt idx="4">
                  <c:v>Jan-22</c:v>
                </c:pt>
                <c:pt idx="5">
                  <c:v>Jul-22</c:v>
                </c:pt>
                <c:pt idx="6">
                  <c:v>Jun-22</c:v>
                </c:pt>
                <c:pt idx="7">
                  <c:v>Mar-22</c:v>
                </c:pt>
                <c:pt idx="8">
                  <c:v>May-22</c:v>
                </c:pt>
                <c:pt idx="9">
                  <c:v>Nov-22</c:v>
                </c:pt>
                <c:pt idx="10">
                  <c:v>Oct-22</c:v>
                </c:pt>
                <c:pt idx="11">
                  <c:v>Sep-22</c:v>
                </c:pt>
              </c:strCache>
            </c:strRef>
          </c:cat>
          <c:val>
            <c:numRef>
              <c:f>project!$C$26:$C$38</c:f>
              <c:numCache>
                <c:formatCode>General</c:formatCode>
                <c:ptCount val="12"/>
                <c:pt idx="0">
                  <c:v>193868.11</c:v>
                </c:pt>
                <c:pt idx="1">
                  <c:v>179485.52999999997</c:v>
                </c:pt>
                <c:pt idx="2">
                  <c:v>192118.62</c:v>
                </c:pt>
                <c:pt idx="3">
                  <c:v>192524.87</c:v>
                </c:pt>
                <c:pt idx="4">
                  <c:v>181905.65000000002</c:v>
                </c:pt>
                <c:pt idx="5">
                  <c:v>188140.53999999998</c:v>
                </c:pt>
                <c:pt idx="6">
                  <c:v>191445.22999999998</c:v>
                </c:pt>
                <c:pt idx="7">
                  <c:v>176431.41999999998</c:v>
                </c:pt>
                <c:pt idx="8">
                  <c:v>185366.91</c:v>
                </c:pt>
                <c:pt idx="9">
                  <c:v>175446.55</c:v>
                </c:pt>
                <c:pt idx="10">
                  <c:v>176777.89999999997</c:v>
                </c:pt>
                <c:pt idx="11">
                  <c:v>174248.2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6-4CC7-B044-9CEAC9A41C0A}"/>
            </c:ext>
          </c:extLst>
        </c:ser>
        <c:ser>
          <c:idx val="1"/>
          <c:order val="1"/>
          <c:tx>
            <c:strRef>
              <c:f>project!$D$25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project!$B$26:$B$38</c:f>
              <c:strCache>
                <c:ptCount val="12"/>
                <c:pt idx="0">
                  <c:v>Apr-22</c:v>
                </c:pt>
                <c:pt idx="1">
                  <c:v>Aug-22</c:v>
                </c:pt>
                <c:pt idx="2">
                  <c:v>Dec-22</c:v>
                </c:pt>
                <c:pt idx="3">
                  <c:v>Feb-22</c:v>
                </c:pt>
                <c:pt idx="4">
                  <c:v>Jan-22</c:v>
                </c:pt>
                <c:pt idx="5">
                  <c:v>Jul-22</c:v>
                </c:pt>
                <c:pt idx="6">
                  <c:v>Jun-22</c:v>
                </c:pt>
                <c:pt idx="7">
                  <c:v>Mar-22</c:v>
                </c:pt>
                <c:pt idx="8">
                  <c:v>May-22</c:v>
                </c:pt>
                <c:pt idx="9">
                  <c:v>Nov-22</c:v>
                </c:pt>
                <c:pt idx="10">
                  <c:v>Oct-22</c:v>
                </c:pt>
                <c:pt idx="11">
                  <c:v>Sep-22</c:v>
                </c:pt>
              </c:strCache>
            </c:strRef>
          </c:cat>
          <c:val>
            <c:numRef>
              <c:f>project!$D$26:$D$38</c:f>
              <c:numCache>
                <c:formatCode>General</c:formatCode>
                <c:ptCount val="12"/>
                <c:pt idx="0">
                  <c:v>184826.15000000002</c:v>
                </c:pt>
                <c:pt idx="1">
                  <c:v>187422.71</c:v>
                </c:pt>
                <c:pt idx="2">
                  <c:v>191852.45999999996</c:v>
                </c:pt>
                <c:pt idx="3">
                  <c:v>187463.77</c:v>
                </c:pt>
                <c:pt idx="4">
                  <c:v>184879.57</c:v>
                </c:pt>
                <c:pt idx="5">
                  <c:v>185909.81</c:v>
                </c:pt>
                <c:pt idx="6">
                  <c:v>187046.6</c:v>
                </c:pt>
                <c:pt idx="7">
                  <c:v>180125.18</c:v>
                </c:pt>
                <c:pt idx="8">
                  <c:v>179869.58000000002</c:v>
                </c:pt>
                <c:pt idx="9">
                  <c:v>188104.81</c:v>
                </c:pt>
                <c:pt idx="10">
                  <c:v>184439.01</c:v>
                </c:pt>
                <c:pt idx="11">
                  <c:v>181362.44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6-4CC7-B044-9CEAC9A41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929055"/>
        <c:axId val="1402929535"/>
      </c:barChart>
      <c:catAx>
        <c:axId val="140292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29535"/>
        <c:crosses val="autoZero"/>
        <c:auto val="1"/>
        <c:lblAlgn val="ctr"/>
        <c:lblOffset val="100"/>
        <c:noMultiLvlLbl val="0"/>
      </c:catAx>
      <c:valAx>
        <c:axId val="140292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2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[Expense_Forecasting_Dataset - Copy.xlsx]project!PivotTable4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project!$E$80</c:f>
              <c:strCache>
                <c:ptCount val="1"/>
                <c:pt idx="0">
                  <c:v>Sum of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project!$D$81:$D$87</c:f>
              <c:strCache>
                <c:ptCount val="6"/>
                <c:pt idx="0">
                  <c:v>Administration</c:v>
                </c:pt>
                <c:pt idx="1">
                  <c:v>Engineering</c:v>
                </c:pt>
                <c:pt idx="2">
                  <c:v>Marketing</c:v>
                </c:pt>
                <c:pt idx="3">
                  <c:v>Operations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project!$E$81:$E$87</c:f>
              <c:numCache>
                <c:formatCode>General</c:formatCode>
                <c:ptCount val="6"/>
                <c:pt idx="0">
                  <c:v>3766849.6300000022</c:v>
                </c:pt>
                <c:pt idx="1">
                  <c:v>803783.89999999967</c:v>
                </c:pt>
                <c:pt idx="2">
                  <c:v>608682.25999999989</c:v>
                </c:pt>
                <c:pt idx="3">
                  <c:v>1154781.8799999994</c:v>
                </c:pt>
                <c:pt idx="4">
                  <c:v>329829.23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3-4969-8608-D4623FC75AB9}"/>
            </c:ext>
          </c:extLst>
        </c:ser>
        <c:ser>
          <c:idx val="1"/>
          <c:order val="1"/>
          <c:tx>
            <c:strRef>
              <c:f>project!$F$80</c:f>
              <c:strCache>
                <c:ptCount val="1"/>
                <c:pt idx="0">
                  <c:v>Sum of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project!$D$81:$D$87</c:f>
              <c:strCache>
                <c:ptCount val="6"/>
                <c:pt idx="0">
                  <c:v>Administration</c:v>
                </c:pt>
                <c:pt idx="1">
                  <c:v>Engineering</c:v>
                </c:pt>
                <c:pt idx="2">
                  <c:v>Marketing</c:v>
                </c:pt>
                <c:pt idx="3">
                  <c:v>Operations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project!$F$81:$F$87</c:f>
              <c:numCache>
                <c:formatCode>General</c:formatCode>
                <c:ptCount val="6"/>
                <c:pt idx="0">
                  <c:v>3789149.6699999985</c:v>
                </c:pt>
                <c:pt idx="1">
                  <c:v>792341.66000000038</c:v>
                </c:pt>
                <c:pt idx="2">
                  <c:v>608846.11</c:v>
                </c:pt>
                <c:pt idx="3">
                  <c:v>1148681.8400000001</c:v>
                </c:pt>
                <c:pt idx="4">
                  <c:v>332580.50999999995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3-4969-8608-D4623FC75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489599"/>
        <c:axId val="1193492479"/>
      </c:lineChart>
      <c:catAx>
        <c:axId val="119348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492479"/>
        <c:crosses val="autoZero"/>
        <c:auto val="1"/>
        <c:lblAlgn val="ctr"/>
        <c:lblOffset val="100"/>
        <c:noMultiLvlLbl val="0"/>
      </c:catAx>
      <c:valAx>
        <c:axId val="11934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48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[Expense_Forecasting_Dataset - Copy.xlsx]project!PivotTable5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project!$E$104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8E-4555-A06D-959D309C69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8E-4555-A06D-959D309C69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8E-4555-A06D-959D309C69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8E-4555-A06D-959D309C69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8E-4555-A06D-959D309C69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8E-4555-A06D-959D309C69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8E-4555-A06D-959D309C69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8E-4555-A06D-959D309C69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8E-4555-A06D-959D309C696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8E-4555-A06D-959D309C696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68E-4555-A06D-959D309C696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68E-4555-A06D-959D309C696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68E-4555-A06D-959D309C6967}"/>
              </c:ext>
            </c:extLst>
          </c:dPt>
          <c:cat>
            <c:strRef>
              <c:f>project!$D$105:$D$118</c:f>
              <c:strCache>
                <c:ptCount val="13"/>
                <c:pt idx="0">
                  <c:v>Equipment</c:v>
                </c:pt>
                <c:pt idx="1">
                  <c:v>Insurance</c:v>
                </c:pt>
                <c:pt idx="2">
                  <c:v>Maintenance</c:v>
                </c:pt>
                <c:pt idx="3">
                  <c:v>Marketing</c:v>
                </c:pt>
                <c:pt idx="4">
                  <c:v>Office Supplies</c:v>
                </c:pt>
                <c:pt idx="5">
                  <c:v>Professional Services</c:v>
                </c:pt>
                <c:pt idx="6">
                  <c:v>Rent</c:v>
                </c:pt>
                <c:pt idx="7">
                  <c:v>Salaries</c:v>
                </c:pt>
                <c:pt idx="8">
                  <c:v>Software Subscriptions</c:v>
                </c:pt>
                <c:pt idx="9">
                  <c:v>Training</c:v>
                </c:pt>
                <c:pt idx="10">
                  <c:v>Travel</c:v>
                </c:pt>
                <c:pt idx="11">
                  <c:v>Utilities</c:v>
                </c:pt>
                <c:pt idx="12">
                  <c:v>(blank)</c:v>
                </c:pt>
              </c:strCache>
            </c:strRef>
          </c:cat>
          <c:val>
            <c:numRef>
              <c:f>project!$E$105:$E$118</c:f>
              <c:numCache>
                <c:formatCode>General</c:formatCode>
                <c:ptCount val="13"/>
                <c:pt idx="0">
                  <c:v>341504.62</c:v>
                </c:pt>
                <c:pt idx="1">
                  <c:v>233449.34999999998</c:v>
                </c:pt>
                <c:pt idx="2">
                  <c:v>192748.99</c:v>
                </c:pt>
                <c:pt idx="3">
                  <c:v>608682.25999999989</c:v>
                </c:pt>
                <c:pt idx="4">
                  <c:v>115260.42</c:v>
                </c:pt>
                <c:pt idx="5">
                  <c:v>259745.53</c:v>
                </c:pt>
                <c:pt idx="6">
                  <c:v>760980.54</c:v>
                </c:pt>
                <c:pt idx="7">
                  <c:v>3006503.9500000007</c:v>
                </c:pt>
                <c:pt idx="8">
                  <c:v>462279.27999999991</c:v>
                </c:pt>
                <c:pt idx="9">
                  <c:v>151890.37999999998</c:v>
                </c:pt>
                <c:pt idx="10">
                  <c:v>329829.23</c:v>
                </c:pt>
                <c:pt idx="11">
                  <c:v>201052.35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C-43EA-B5E7-F6459339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430494</xdr:colOff>
      <xdr:row>6</xdr:row>
      <xdr:rowOff>85352</xdr:rowOff>
    </xdr:from>
    <xdr:to>
      <xdr:col>10</xdr:col>
      <xdr:colOff>127001</xdr:colOff>
      <xdr:row>18</xdr:row>
      <xdr:rowOff>22413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FFE5B0-3CC9-27AA-8633-25DA7BB66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748209</xdr:colOff>
      <xdr:row>25</xdr:row>
      <xdr:rowOff>64189</xdr:rowOff>
    </xdr:from>
    <xdr:to>
      <xdr:col>11</xdr:col>
      <xdr:colOff>434444</xdr:colOff>
      <xdr:row>40</xdr:row>
      <xdr:rowOff>5918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626BD3-F699-73EA-12D1-ADD9CC84E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962269</xdr:colOff>
      <xdr:row>77</xdr:row>
      <xdr:rowOff>88899</xdr:rowOff>
    </xdr:from>
    <xdr:to>
      <xdr:col>10</xdr:col>
      <xdr:colOff>923192</xdr:colOff>
      <xdr:row>92</xdr:row>
      <xdr:rowOff>47868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4F2241-2FFF-62D9-FC21-0FBB71A8C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1072173</xdr:colOff>
      <xdr:row>102</xdr:row>
      <xdr:rowOff>32727</xdr:rowOff>
    </xdr:from>
    <xdr:to>
      <xdr:col>12</xdr:col>
      <xdr:colOff>610577</xdr:colOff>
      <xdr:row>122</xdr:row>
      <xdr:rowOff>61057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FD51DD-7037-5982-982D-03CEAEBF9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thinkpad" refreshedDate="46004.452506250003" createdVersion="8" refreshedVersion="8" minRefreshableVersion="3" recordCount="433" xr:uid="{46A7D972-73BE-4C3E-AB2C-12C0D92B42C6}">
  <cacheSource type="worksheet">
    <worksheetSource ref="A1:J1048576" sheet="Detailed"/>
  </cacheSource>
  <cacheFields count="10">
    <cacheField name="Date" numFmtId="0">
      <sharedItems containsBlank="1"/>
    </cacheField>
    <cacheField name="Month" numFmtId="0">
      <sharedItems containsBlank="1" count="37">
        <s v="Jan-21"/>
        <s v="Feb-21"/>
        <s v="Mar-21"/>
        <s v="Apr-21"/>
        <s v="May-21"/>
        <s v="Jun-21"/>
        <s v="Jul-21"/>
        <s v="Aug-21"/>
        <s v="Sep-21"/>
        <s v="Oct-21"/>
        <s v="Nov-21"/>
        <s v="Dec-21"/>
        <s v="Jan-22"/>
        <s v="Feb-22"/>
        <s v="Mar-22"/>
        <s v="Apr-22"/>
        <s v="May-22"/>
        <s v="Jun-22"/>
        <s v="Jul-22"/>
        <s v="Aug-22"/>
        <s v="Sep-22"/>
        <s v="Oct-22"/>
        <s v="Nov-22"/>
        <s v="Dec-22"/>
        <s v="Jan-23"/>
        <s v="Feb-23"/>
        <s v="Mar-23"/>
        <s v="Apr-23"/>
        <s v="May-23"/>
        <s v="Jun-23"/>
        <s v="Jul-23"/>
        <s v="Aug-23"/>
        <s v="Sep-23"/>
        <s v="Oct-23"/>
        <s v="Nov-23"/>
        <s v="Dec-23"/>
        <m/>
      </sharedItems>
    </cacheField>
    <cacheField name="Year" numFmtId="0">
      <sharedItems containsString="0" containsBlank="1" containsNumber="1" containsInteger="1" minValue="2021" maxValue="2023"/>
    </cacheField>
    <cacheField name="Expense Category" numFmtId="0">
      <sharedItems containsBlank="1" count="13">
        <s v="Salaries"/>
        <s v="Marketing"/>
        <s v="Rent"/>
        <s v="Utilities"/>
        <s v="Software Subscriptions"/>
        <s v="Office Supplies"/>
        <s v="Travel"/>
        <s v="Training"/>
        <s v="Insurance"/>
        <s v="Maintenance"/>
        <s v="Professional Services"/>
        <s v="Equipment"/>
        <m/>
      </sharedItems>
    </cacheField>
    <cacheField name="Department" numFmtId="0">
      <sharedItems containsBlank="1" count="6">
        <s v="Administration"/>
        <s v="Marketing"/>
        <s v="Operations"/>
        <s v="Engineering"/>
        <s v="Sales"/>
        <m/>
      </sharedItems>
    </cacheField>
    <cacheField name="Actual" numFmtId="0">
      <sharedItems containsString="0" containsBlank="1" containsNumber="1" minValue="2673.88" maxValue="96114.43"/>
    </cacheField>
    <cacheField name="Budget" numFmtId="0">
      <sharedItems containsString="0" containsBlank="1" containsNumber="1" minValue="2860.44" maxValue="92415.57"/>
    </cacheField>
    <cacheField name="Variance" numFmtId="0">
      <sharedItems containsString="0" containsBlank="1" containsNumber="1" minValue="-11399.77" maxValue="10460.48"/>
    </cacheField>
    <cacheField name="Notes" numFmtId="0">
      <sharedItems containsNonDate="0" containsString="0" containsBlank="1"/>
    </cacheField>
    <cacheField name="Quar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">
  <r>
    <s v="01/01/2021"/>
    <x v="0"/>
    <n v="2021"/>
    <x v="0"/>
    <x v="0"/>
    <n v="80294.039999999994"/>
    <n v="81192.11"/>
    <n v="-898.08"/>
    <m/>
    <s v="Q1"/>
  </r>
  <r>
    <s v="01/01/2021"/>
    <x v="0"/>
    <n v="2021"/>
    <x v="1"/>
    <x v="1"/>
    <n v="17154.61"/>
    <n v="15291.46"/>
    <n v="1863.15"/>
    <m/>
    <s v="Q1"/>
  </r>
  <r>
    <s v="01/01/2021"/>
    <x v="0"/>
    <n v="2021"/>
    <x v="2"/>
    <x v="2"/>
    <n v="19487.52"/>
    <n v="19859.509999999998"/>
    <n v="-371.99"/>
    <m/>
    <s v="Q1"/>
  </r>
  <r>
    <s v="01/01/2021"/>
    <x v="0"/>
    <n v="2021"/>
    <x v="3"/>
    <x v="2"/>
    <n v="6948"/>
    <n v="6546.1"/>
    <n v="401.9"/>
    <m/>
    <s v="Q1"/>
  </r>
  <r>
    <s v="01/01/2021"/>
    <x v="0"/>
    <n v="2021"/>
    <x v="4"/>
    <x v="3"/>
    <n v="12344.51"/>
    <n v="11830.99"/>
    <n v="513.52"/>
    <m/>
    <s v="Q1"/>
  </r>
  <r>
    <s v="01/01/2021"/>
    <x v="0"/>
    <n v="2021"/>
    <x v="5"/>
    <x v="0"/>
    <n v="2848.07"/>
    <n v="2958.29"/>
    <n v="-110.22"/>
    <m/>
    <s v="Q1"/>
  </r>
  <r>
    <s v="01/01/2021"/>
    <x v="0"/>
    <n v="2021"/>
    <x v="6"/>
    <x v="4"/>
    <n v="6824.68"/>
    <n v="8058.07"/>
    <n v="-1233.3900000000001"/>
    <m/>
    <s v="Q1"/>
  </r>
  <r>
    <s v="01/01/2021"/>
    <x v="0"/>
    <n v="2021"/>
    <x v="7"/>
    <x v="0"/>
    <n v="3622.39"/>
    <n v="3793.01"/>
    <n v="-170.62"/>
    <m/>
    <s v="Q1"/>
  </r>
  <r>
    <s v="01/01/2021"/>
    <x v="0"/>
    <n v="2021"/>
    <x v="8"/>
    <x v="0"/>
    <n v="5963.95"/>
    <n v="5817.69"/>
    <n v="146.26"/>
    <m/>
    <s v="Q1"/>
  </r>
  <r>
    <s v="01/01/2021"/>
    <x v="0"/>
    <n v="2021"/>
    <x v="9"/>
    <x v="2"/>
    <n v="4314.26"/>
    <n v="4863.8"/>
    <n v="-549.53"/>
    <m/>
    <s v="Q1"/>
  </r>
  <r>
    <s v="01/01/2021"/>
    <x v="0"/>
    <n v="2021"/>
    <x v="10"/>
    <x v="0"/>
    <n v="7175.79"/>
    <n v="7307.79"/>
    <n v="-131.99"/>
    <m/>
    <s v="Q1"/>
  </r>
  <r>
    <s v="01/01/2021"/>
    <x v="0"/>
    <n v="2021"/>
    <x v="11"/>
    <x v="3"/>
    <n v="7990.34"/>
    <n v="9018.23"/>
    <n v="-1027.9000000000001"/>
    <m/>
    <s v="Q1"/>
  </r>
  <r>
    <s v="02/01/2021"/>
    <x v="1"/>
    <n v="2021"/>
    <x v="0"/>
    <x v="0"/>
    <n v="79391.789999999994"/>
    <n v="78693.48"/>
    <n v="698.31"/>
    <m/>
    <s v="Q1"/>
  </r>
  <r>
    <s v="02/01/2021"/>
    <x v="1"/>
    <n v="2021"/>
    <x v="1"/>
    <x v="1"/>
    <n v="14917.32"/>
    <n v="14482.05"/>
    <n v="435.27"/>
    <m/>
    <s v="Q1"/>
  </r>
  <r>
    <s v="02/01/2021"/>
    <x v="1"/>
    <n v="2021"/>
    <x v="2"/>
    <x v="2"/>
    <n v="19181.32"/>
    <n v="19639.62"/>
    <n v="-458.3"/>
    <m/>
    <s v="Q1"/>
  </r>
  <r>
    <s v="02/01/2021"/>
    <x v="1"/>
    <n v="2021"/>
    <x v="3"/>
    <x v="2"/>
    <n v="7046.6"/>
    <n v="6137.18"/>
    <n v="909.42"/>
    <m/>
    <s v="Q1"/>
  </r>
  <r>
    <s v="02/01/2021"/>
    <x v="1"/>
    <n v="2021"/>
    <x v="4"/>
    <x v="3"/>
    <n v="10980.15"/>
    <n v="11995.14"/>
    <n v="-1014.99"/>
    <m/>
    <s v="Q1"/>
  </r>
  <r>
    <s v="02/01/2021"/>
    <x v="1"/>
    <n v="2021"/>
    <x v="5"/>
    <x v="0"/>
    <n v="2773.8"/>
    <n v="3074.03"/>
    <n v="-300.23"/>
    <m/>
    <s v="Q1"/>
  </r>
  <r>
    <s v="02/01/2021"/>
    <x v="1"/>
    <n v="2021"/>
    <x v="6"/>
    <x v="4"/>
    <n v="6788.08"/>
    <n v="8050.13"/>
    <n v="-1262.05"/>
    <m/>
    <s v="Q1"/>
  </r>
  <r>
    <s v="02/01/2021"/>
    <x v="1"/>
    <n v="2021"/>
    <x v="7"/>
    <x v="0"/>
    <n v="3901.1"/>
    <n v="3840.62"/>
    <n v="60.49"/>
    <m/>
    <s v="Q1"/>
  </r>
  <r>
    <s v="02/01/2021"/>
    <x v="1"/>
    <n v="2021"/>
    <x v="8"/>
    <x v="0"/>
    <n v="6217"/>
    <n v="6132.92"/>
    <n v="84.08"/>
    <m/>
    <s v="Q1"/>
  </r>
  <r>
    <s v="02/01/2021"/>
    <x v="1"/>
    <n v="2021"/>
    <x v="9"/>
    <x v="2"/>
    <n v="4862.63"/>
    <n v="4982.6499999999996"/>
    <n v="-120.02"/>
    <m/>
    <s v="Q1"/>
  </r>
  <r>
    <s v="02/01/2021"/>
    <x v="1"/>
    <n v="2021"/>
    <x v="10"/>
    <x v="0"/>
    <n v="6304.28"/>
    <n v="6689.51"/>
    <n v="-385.23"/>
    <m/>
    <s v="Q1"/>
  </r>
  <r>
    <s v="02/01/2021"/>
    <x v="1"/>
    <n v="2021"/>
    <x v="11"/>
    <x v="3"/>
    <n v="9626.24"/>
    <n v="8875.6299999999992"/>
    <n v="750.61"/>
    <m/>
    <s v="Q1"/>
  </r>
  <r>
    <s v="03/01/2021"/>
    <x v="2"/>
    <n v="2021"/>
    <x v="0"/>
    <x v="0"/>
    <n v="69424.91"/>
    <n v="80824.679999999993"/>
    <n v="-11399.77"/>
    <m/>
    <s v="Q1"/>
  </r>
  <r>
    <s v="03/01/2021"/>
    <x v="2"/>
    <n v="2021"/>
    <x v="1"/>
    <x v="1"/>
    <n v="14679.25"/>
    <n v="15145.84"/>
    <n v="-466.59"/>
    <m/>
    <s v="Q1"/>
  </r>
  <r>
    <s v="03/01/2021"/>
    <x v="2"/>
    <n v="2021"/>
    <x v="2"/>
    <x v="2"/>
    <n v="20552.650000000001"/>
    <n v="19593.849999999999"/>
    <n v="958.81"/>
    <m/>
    <s v="Q1"/>
  </r>
  <r>
    <s v="03/01/2021"/>
    <x v="2"/>
    <n v="2021"/>
    <x v="3"/>
    <x v="2"/>
    <n v="5538.68"/>
    <n v="5154.6499999999996"/>
    <n v="384.03"/>
    <m/>
    <s v="Q1"/>
  </r>
  <r>
    <s v="03/01/2021"/>
    <x v="2"/>
    <n v="2021"/>
    <x v="4"/>
    <x v="3"/>
    <n v="11408.51"/>
    <n v="11697.88"/>
    <n v="-289.37"/>
    <m/>
    <s v="Q1"/>
  </r>
  <r>
    <s v="03/01/2021"/>
    <x v="2"/>
    <n v="2021"/>
    <x v="5"/>
    <x v="0"/>
    <n v="3266.27"/>
    <n v="3029.81"/>
    <n v="236.46"/>
    <m/>
    <s v="Q1"/>
  </r>
  <r>
    <s v="03/01/2021"/>
    <x v="2"/>
    <n v="2021"/>
    <x v="6"/>
    <x v="4"/>
    <n v="7767.88"/>
    <n v="7885"/>
    <n v="-117.11"/>
    <m/>
    <s v="Q1"/>
  </r>
  <r>
    <s v="03/01/2021"/>
    <x v="2"/>
    <n v="2021"/>
    <x v="7"/>
    <x v="0"/>
    <n v="3497.16"/>
    <n v="3867.24"/>
    <n v="-370.08"/>
    <m/>
    <s v="Q1"/>
  </r>
  <r>
    <s v="03/01/2021"/>
    <x v="2"/>
    <n v="2021"/>
    <x v="8"/>
    <x v="0"/>
    <n v="6813.12"/>
    <n v="6146.25"/>
    <n v="666.86"/>
    <m/>
    <s v="Q1"/>
  </r>
  <r>
    <s v="03/01/2021"/>
    <x v="2"/>
    <n v="2021"/>
    <x v="9"/>
    <x v="2"/>
    <n v="5389.74"/>
    <n v="4989.2"/>
    <n v="400.55"/>
    <m/>
    <s v="Q1"/>
  </r>
  <r>
    <s v="03/01/2021"/>
    <x v="2"/>
    <n v="2021"/>
    <x v="10"/>
    <x v="0"/>
    <n v="6710.76"/>
    <n v="7075.94"/>
    <n v="-365.19"/>
    <m/>
    <s v="Q1"/>
  </r>
  <r>
    <s v="03/01/2021"/>
    <x v="2"/>
    <n v="2021"/>
    <x v="11"/>
    <x v="3"/>
    <n v="10216.969999999999"/>
    <n v="9097.58"/>
    <n v="1119.3900000000001"/>
    <m/>
    <s v="Q1"/>
  </r>
  <r>
    <s v="04/01/2021"/>
    <x v="3"/>
    <n v="2021"/>
    <x v="0"/>
    <x v="0"/>
    <n v="89916.97"/>
    <n v="79914.02"/>
    <n v="10002.959999999999"/>
    <m/>
    <s v="Q2"/>
  </r>
  <r>
    <s v="04/01/2021"/>
    <x v="3"/>
    <n v="2021"/>
    <x v="1"/>
    <x v="1"/>
    <n v="14729.88"/>
    <n v="13821.11"/>
    <n v="908.77"/>
    <m/>
    <s v="Q2"/>
  </r>
  <r>
    <s v="04/01/2021"/>
    <x v="3"/>
    <n v="2021"/>
    <x v="2"/>
    <x v="2"/>
    <n v="19572.57"/>
    <n v="20052.23"/>
    <n v="-479.66"/>
    <m/>
    <s v="Q2"/>
  </r>
  <r>
    <s v="04/01/2021"/>
    <x v="3"/>
    <n v="2021"/>
    <x v="3"/>
    <x v="2"/>
    <n v="4216.55"/>
    <n v="5013.76"/>
    <n v="-797.22"/>
    <m/>
    <s v="Q2"/>
  </r>
  <r>
    <s v="04/01/2021"/>
    <x v="3"/>
    <n v="2021"/>
    <x v="4"/>
    <x v="3"/>
    <n v="12261.49"/>
    <n v="11920.92"/>
    <n v="340.57"/>
    <m/>
    <s v="Q2"/>
  </r>
  <r>
    <s v="04/01/2021"/>
    <x v="3"/>
    <n v="2021"/>
    <x v="5"/>
    <x v="0"/>
    <n v="3003.11"/>
    <n v="3133.01"/>
    <n v="-129.9"/>
    <m/>
    <s v="Q2"/>
  </r>
  <r>
    <s v="04/01/2021"/>
    <x v="3"/>
    <n v="2021"/>
    <x v="6"/>
    <x v="4"/>
    <n v="7492.63"/>
    <n v="7805.96"/>
    <n v="-313.33999999999997"/>
    <m/>
    <s v="Q2"/>
  </r>
  <r>
    <s v="04/01/2021"/>
    <x v="3"/>
    <n v="2021"/>
    <x v="7"/>
    <x v="0"/>
    <n v="4217.9399999999996"/>
    <n v="4109.8500000000004"/>
    <n v="108.09"/>
    <m/>
    <s v="Q2"/>
  </r>
  <r>
    <s v="04/01/2021"/>
    <x v="3"/>
    <n v="2021"/>
    <x v="8"/>
    <x v="0"/>
    <n v="6147.1"/>
    <n v="5904.64"/>
    <n v="242.45"/>
    <m/>
    <s v="Q2"/>
  </r>
  <r>
    <s v="04/01/2021"/>
    <x v="3"/>
    <n v="2021"/>
    <x v="9"/>
    <x v="2"/>
    <n v="5403.15"/>
    <n v="5014.5600000000004"/>
    <n v="388.59"/>
    <m/>
    <s v="Q2"/>
  </r>
  <r>
    <s v="04/01/2021"/>
    <x v="3"/>
    <n v="2021"/>
    <x v="10"/>
    <x v="0"/>
    <n v="6672.94"/>
    <n v="6852.57"/>
    <n v="-179.63"/>
    <m/>
    <s v="Q2"/>
  </r>
  <r>
    <s v="04/01/2021"/>
    <x v="3"/>
    <n v="2021"/>
    <x v="11"/>
    <x v="3"/>
    <n v="7852.8"/>
    <n v="8894.1299999999992"/>
    <n v="-1041.3399999999999"/>
    <m/>
    <s v="Q2"/>
  </r>
  <r>
    <s v="05/01/2021"/>
    <x v="4"/>
    <n v="2021"/>
    <x v="0"/>
    <x v="0"/>
    <n v="82396.28"/>
    <n v="80710.69"/>
    <n v="1685.6"/>
    <m/>
    <s v="Q2"/>
  </r>
  <r>
    <s v="05/01/2021"/>
    <x v="4"/>
    <n v="2021"/>
    <x v="1"/>
    <x v="1"/>
    <n v="14720.75"/>
    <n v="15002.3"/>
    <n v="-281.55"/>
    <m/>
    <s v="Q2"/>
  </r>
  <r>
    <s v="05/01/2021"/>
    <x v="4"/>
    <n v="2021"/>
    <x v="2"/>
    <x v="2"/>
    <n v="18506.32"/>
    <n v="19150.78"/>
    <n v="-644.45000000000005"/>
    <m/>
    <s v="Q2"/>
  </r>
  <r>
    <s v="05/01/2021"/>
    <x v="4"/>
    <n v="2021"/>
    <x v="3"/>
    <x v="2"/>
    <n v="4630.9799999999996"/>
    <n v="4948.59"/>
    <n v="-317.61"/>
    <m/>
    <s v="Q2"/>
  </r>
  <r>
    <s v="05/01/2021"/>
    <x v="4"/>
    <n v="2021"/>
    <x v="4"/>
    <x v="3"/>
    <n v="12327.95"/>
    <n v="11941.94"/>
    <n v="386.01"/>
    <m/>
    <s v="Q2"/>
  </r>
  <r>
    <s v="05/01/2021"/>
    <x v="4"/>
    <n v="2021"/>
    <x v="5"/>
    <x v="0"/>
    <n v="3214.03"/>
    <n v="3169.76"/>
    <n v="44.27"/>
    <m/>
    <s v="Q2"/>
  </r>
  <r>
    <s v="05/01/2021"/>
    <x v="4"/>
    <n v="2021"/>
    <x v="6"/>
    <x v="4"/>
    <n v="8013.8"/>
    <n v="8061.81"/>
    <n v="-48.01"/>
    <m/>
    <s v="Q2"/>
  </r>
  <r>
    <s v="05/01/2021"/>
    <x v="4"/>
    <n v="2021"/>
    <x v="7"/>
    <x v="0"/>
    <n v="3761.75"/>
    <n v="3769.75"/>
    <n v="-8"/>
    <m/>
    <s v="Q2"/>
  </r>
  <r>
    <s v="05/01/2021"/>
    <x v="4"/>
    <n v="2021"/>
    <x v="8"/>
    <x v="0"/>
    <n v="7195.33"/>
    <n v="6010.84"/>
    <n v="1184.49"/>
    <m/>
    <s v="Q2"/>
  </r>
  <r>
    <s v="05/01/2021"/>
    <x v="4"/>
    <n v="2021"/>
    <x v="9"/>
    <x v="2"/>
    <n v="5091.07"/>
    <n v="4971.1499999999996"/>
    <n v="119.92"/>
    <m/>
    <s v="Q2"/>
  </r>
  <r>
    <s v="05/01/2021"/>
    <x v="4"/>
    <n v="2021"/>
    <x v="10"/>
    <x v="0"/>
    <n v="6338.93"/>
    <n v="6992.71"/>
    <n v="-653.78"/>
    <m/>
    <s v="Q2"/>
  </r>
  <r>
    <s v="05/01/2021"/>
    <x v="4"/>
    <n v="2021"/>
    <x v="11"/>
    <x v="3"/>
    <n v="9868.52"/>
    <n v="9308.56"/>
    <n v="559.95000000000005"/>
    <m/>
    <s v="Q2"/>
  </r>
  <r>
    <s v="06/01/2021"/>
    <x v="5"/>
    <n v="2021"/>
    <x v="0"/>
    <x v="0"/>
    <n v="75940.28"/>
    <n v="81898.48"/>
    <n v="-5958.2"/>
    <m/>
    <s v="Q2"/>
  </r>
  <r>
    <s v="06/01/2021"/>
    <x v="5"/>
    <n v="2021"/>
    <x v="1"/>
    <x v="1"/>
    <n v="13878.24"/>
    <n v="15631.26"/>
    <n v="-1753.02"/>
    <m/>
    <s v="Q2"/>
  </r>
  <r>
    <s v="06/01/2021"/>
    <x v="5"/>
    <n v="2021"/>
    <x v="2"/>
    <x v="2"/>
    <n v="23918.55"/>
    <n v="20352.11"/>
    <n v="3566.43"/>
    <m/>
    <s v="Q2"/>
  </r>
  <r>
    <s v="06/01/2021"/>
    <x v="5"/>
    <n v="2021"/>
    <x v="3"/>
    <x v="2"/>
    <n v="4631.63"/>
    <n v="4851.42"/>
    <n v="-219.79"/>
    <m/>
    <s v="Q2"/>
  </r>
  <r>
    <s v="06/01/2021"/>
    <x v="5"/>
    <n v="2021"/>
    <x v="4"/>
    <x v="3"/>
    <n v="11551.09"/>
    <n v="12035.87"/>
    <n v="-484.78"/>
    <m/>
    <s v="Q2"/>
  </r>
  <r>
    <s v="06/01/2021"/>
    <x v="5"/>
    <n v="2021"/>
    <x v="5"/>
    <x v="0"/>
    <n v="2876.13"/>
    <n v="2860.44"/>
    <n v="15.69"/>
    <m/>
    <s v="Q2"/>
  </r>
  <r>
    <s v="06/01/2021"/>
    <x v="5"/>
    <n v="2021"/>
    <x v="6"/>
    <x v="4"/>
    <n v="11253.88"/>
    <n v="10843.07"/>
    <n v="410.82"/>
    <m/>
    <s v="Q2"/>
  </r>
  <r>
    <s v="06/01/2021"/>
    <x v="5"/>
    <n v="2021"/>
    <x v="7"/>
    <x v="0"/>
    <n v="4371.97"/>
    <n v="3889.67"/>
    <n v="482.3"/>
    <m/>
    <s v="Q2"/>
  </r>
  <r>
    <s v="06/01/2021"/>
    <x v="5"/>
    <n v="2021"/>
    <x v="8"/>
    <x v="0"/>
    <n v="5708.06"/>
    <n v="5859.01"/>
    <n v="-150.96"/>
    <m/>
    <s v="Q2"/>
  </r>
  <r>
    <s v="06/01/2021"/>
    <x v="5"/>
    <n v="2021"/>
    <x v="9"/>
    <x v="2"/>
    <n v="4617.67"/>
    <n v="5122.03"/>
    <n v="-504.36"/>
    <m/>
    <s v="Q2"/>
  </r>
  <r>
    <s v="06/01/2021"/>
    <x v="5"/>
    <n v="2021"/>
    <x v="10"/>
    <x v="0"/>
    <n v="7784.76"/>
    <n v="7047.77"/>
    <n v="736.99"/>
    <m/>
    <s v="Q2"/>
  </r>
  <r>
    <s v="06/01/2021"/>
    <x v="5"/>
    <n v="2021"/>
    <x v="11"/>
    <x v="3"/>
    <n v="8692.51"/>
    <n v="8565.98"/>
    <n v="126.53"/>
    <m/>
    <s v="Q2"/>
  </r>
  <r>
    <s v="07/01/2021"/>
    <x v="6"/>
    <n v="2021"/>
    <x v="0"/>
    <x v="0"/>
    <n v="85666.4"/>
    <n v="80623.72"/>
    <n v="5042.68"/>
    <m/>
    <s v="Q3"/>
  </r>
  <r>
    <s v="07/01/2021"/>
    <x v="6"/>
    <n v="2021"/>
    <x v="1"/>
    <x v="1"/>
    <n v="12917.62"/>
    <n v="14443.37"/>
    <n v="-1525.75"/>
    <m/>
    <s v="Q3"/>
  </r>
  <r>
    <s v="07/01/2021"/>
    <x v="6"/>
    <n v="2021"/>
    <x v="2"/>
    <x v="2"/>
    <n v="20795.78"/>
    <n v="20313.16"/>
    <n v="482.62"/>
    <m/>
    <s v="Q3"/>
  </r>
  <r>
    <s v="07/01/2021"/>
    <x v="6"/>
    <n v="2021"/>
    <x v="3"/>
    <x v="2"/>
    <n v="5177.1899999999996"/>
    <n v="5037.57"/>
    <n v="139.62"/>
    <m/>
    <s v="Q3"/>
  </r>
  <r>
    <s v="07/01/2021"/>
    <x v="6"/>
    <n v="2021"/>
    <x v="4"/>
    <x v="3"/>
    <n v="11973.61"/>
    <n v="11755.19"/>
    <n v="218.41"/>
    <m/>
    <s v="Q3"/>
  </r>
  <r>
    <s v="07/01/2021"/>
    <x v="6"/>
    <n v="2021"/>
    <x v="5"/>
    <x v="0"/>
    <n v="2853.42"/>
    <n v="3026.38"/>
    <n v="-172.95"/>
    <m/>
    <s v="Q3"/>
  </r>
  <r>
    <s v="07/01/2021"/>
    <x v="6"/>
    <n v="2021"/>
    <x v="6"/>
    <x v="4"/>
    <n v="12275.22"/>
    <n v="11826.9"/>
    <n v="448.32"/>
    <m/>
    <s v="Q3"/>
  </r>
  <r>
    <s v="07/01/2021"/>
    <x v="6"/>
    <n v="2021"/>
    <x v="7"/>
    <x v="0"/>
    <n v="4059.63"/>
    <n v="3857.04"/>
    <n v="202.59"/>
    <m/>
    <s v="Q3"/>
  </r>
  <r>
    <s v="07/01/2021"/>
    <x v="6"/>
    <n v="2021"/>
    <x v="8"/>
    <x v="0"/>
    <n v="6191.31"/>
    <n v="5824.56"/>
    <n v="366.75"/>
    <m/>
    <s v="Q3"/>
  </r>
  <r>
    <s v="07/01/2021"/>
    <x v="6"/>
    <n v="2021"/>
    <x v="9"/>
    <x v="2"/>
    <n v="4834.1099999999997"/>
    <n v="5173.79"/>
    <n v="-339.68"/>
    <m/>
    <s v="Q3"/>
  </r>
  <r>
    <s v="07/01/2021"/>
    <x v="6"/>
    <n v="2021"/>
    <x v="10"/>
    <x v="0"/>
    <n v="7440.15"/>
    <n v="7202.31"/>
    <n v="237.84"/>
    <m/>
    <s v="Q3"/>
  </r>
  <r>
    <s v="07/01/2021"/>
    <x v="6"/>
    <n v="2021"/>
    <x v="11"/>
    <x v="3"/>
    <n v="10621.33"/>
    <n v="9221.9599999999991"/>
    <n v="1399.37"/>
    <m/>
    <s v="Q3"/>
  </r>
  <r>
    <s v="08/01/2021"/>
    <x v="7"/>
    <n v="2021"/>
    <x v="0"/>
    <x v="0"/>
    <n v="74622.67"/>
    <n v="79411.070000000007"/>
    <n v="-4788.3999999999996"/>
    <m/>
    <s v="Q3"/>
  </r>
  <r>
    <s v="08/01/2021"/>
    <x v="7"/>
    <n v="2021"/>
    <x v="1"/>
    <x v="1"/>
    <n v="13646.87"/>
    <n v="14599.72"/>
    <n v="-952.85"/>
    <m/>
    <s v="Q3"/>
  </r>
  <r>
    <s v="08/01/2021"/>
    <x v="7"/>
    <n v="2021"/>
    <x v="2"/>
    <x v="2"/>
    <n v="20498.32"/>
    <n v="19953.740000000002"/>
    <n v="544.58000000000004"/>
    <m/>
    <s v="Q3"/>
  </r>
  <r>
    <s v="08/01/2021"/>
    <x v="7"/>
    <n v="2021"/>
    <x v="3"/>
    <x v="2"/>
    <n v="5375.12"/>
    <n v="5041.5"/>
    <n v="333.62"/>
    <m/>
    <s v="Q3"/>
  </r>
  <r>
    <s v="08/01/2021"/>
    <x v="7"/>
    <n v="2021"/>
    <x v="4"/>
    <x v="3"/>
    <n v="13400.62"/>
    <n v="12004.68"/>
    <n v="1395.94"/>
    <m/>
    <s v="Q3"/>
  </r>
  <r>
    <s v="08/01/2021"/>
    <x v="7"/>
    <n v="2021"/>
    <x v="5"/>
    <x v="0"/>
    <n v="3623.84"/>
    <n v="2976.18"/>
    <n v="647.66"/>
    <m/>
    <s v="Q3"/>
  </r>
  <r>
    <s v="08/01/2021"/>
    <x v="7"/>
    <n v="2021"/>
    <x v="6"/>
    <x v="4"/>
    <n v="10627.8"/>
    <n v="11410.22"/>
    <n v="-782.43"/>
    <m/>
    <s v="Q3"/>
  </r>
  <r>
    <s v="08/01/2021"/>
    <x v="7"/>
    <n v="2021"/>
    <x v="7"/>
    <x v="0"/>
    <n v="4020.92"/>
    <n v="3871.49"/>
    <n v="149.43"/>
    <m/>
    <s v="Q3"/>
  </r>
  <r>
    <s v="08/01/2021"/>
    <x v="7"/>
    <n v="2021"/>
    <x v="8"/>
    <x v="0"/>
    <n v="6300.2"/>
    <n v="5959.78"/>
    <n v="340.42"/>
    <m/>
    <s v="Q3"/>
  </r>
  <r>
    <s v="08/01/2021"/>
    <x v="7"/>
    <n v="2021"/>
    <x v="9"/>
    <x v="2"/>
    <n v="5041.4399999999996"/>
    <n v="5070.99"/>
    <n v="-29.55"/>
    <m/>
    <s v="Q3"/>
  </r>
  <r>
    <s v="08/01/2021"/>
    <x v="7"/>
    <n v="2021"/>
    <x v="10"/>
    <x v="0"/>
    <n v="5995.41"/>
    <n v="6822.17"/>
    <n v="-826.76"/>
    <m/>
    <s v="Q3"/>
  </r>
  <r>
    <s v="08/01/2021"/>
    <x v="7"/>
    <n v="2021"/>
    <x v="11"/>
    <x v="3"/>
    <n v="9487.7900000000009"/>
    <n v="8879.44"/>
    <n v="608.35"/>
    <m/>
    <s v="Q3"/>
  </r>
  <r>
    <s v="09/01/2021"/>
    <x v="8"/>
    <n v="2021"/>
    <x v="0"/>
    <x v="0"/>
    <n v="72489.89"/>
    <n v="80513.820000000007"/>
    <n v="-8023.94"/>
    <m/>
    <s v="Q3"/>
  </r>
  <r>
    <s v="09/01/2021"/>
    <x v="8"/>
    <n v="2021"/>
    <x v="1"/>
    <x v="1"/>
    <n v="15542.71"/>
    <n v="15077.93"/>
    <n v="464.78"/>
    <m/>
    <s v="Q3"/>
  </r>
  <r>
    <s v="09/01/2021"/>
    <x v="8"/>
    <n v="2021"/>
    <x v="2"/>
    <x v="2"/>
    <n v="19709.12"/>
    <n v="19469.689999999999"/>
    <n v="239.44"/>
    <m/>
    <s v="Q3"/>
  </r>
  <r>
    <s v="09/01/2021"/>
    <x v="8"/>
    <n v="2021"/>
    <x v="3"/>
    <x v="2"/>
    <n v="4550.74"/>
    <n v="5008.7299999999996"/>
    <n v="-457.99"/>
    <m/>
    <s v="Q3"/>
  </r>
  <r>
    <s v="09/01/2021"/>
    <x v="8"/>
    <n v="2021"/>
    <x v="4"/>
    <x v="3"/>
    <n v="12672.94"/>
    <n v="12128.8"/>
    <n v="544.13"/>
    <m/>
    <s v="Q3"/>
  </r>
  <r>
    <s v="09/01/2021"/>
    <x v="8"/>
    <n v="2021"/>
    <x v="5"/>
    <x v="0"/>
    <n v="3358.6"/>
    <n v="3097.47"/>
    <n v="261.13"/>
    <m/>
    <s v="Q3"/>
  </r>
  <r>
    <s v="09/01/2021"/>
    <x v="8"/>
    <n v="2021"/>
    <x v="6"/>
    <x v="4"/>
    <n v="7093.96"/>
    <n v="7669.36"/>
    <n v="-575.4"/>
    <m/>
    <s v="Q3"/>
  </r>
  <r>
    <s v="09/01/2021"/>
    <x v="8"/>
    <n v="2021"/>
    <x v="7"/>
    <x v="0"/>
    <n v="4228.76"/>
    <n v="4061.8"/>
    <n v="166.95"/>
    <m/>
    <s v="Q3"/>
  </r>
  <r>
    <s v="09/01/2021"/>
    <x v="8"/>
    <n v="2021"/>
    <x v="8"/>
    <x v="0"/>
    <n v="7970.59"/>
    <n v="6092.71"/>
    <n v="1877.89"/>
    <m/>
    <s v="Q3"/>
  </r>
  <r>
    <s v="09/01/2021"/>
    <x v="8"/>
    <n v="2021"/>
    <x v="9"/>
    <x v="2"/>
    <n v="5547.64"/>
    <n v="5085.63"/>
    <n v="462.01"/>
    <m/>
    <s v="Q3"/>
  </r>
  <r>
    <s v="09/01/2021"/>
    <x v="8"/>
    <n v="2021"/>
    <x v="10"/>
    <x v="0"/>
    <n v="7575.56"/>
    <n v="7200.34"/>
    <n v="375.22"/>
    <m/>
    <s v="Q3"/>
  </r>
  <r>
    <s v="09/01/2021"/>
    <x v="8"/>
    <n v="2021"/>
    <x v="11"/>
    <x v="3"/>
    <n v="9456.17"/>
    <n v="8914.8799999999992"/>
    <n v="541.29"/>
    <m/>
    <s v="Q3"/>
  </r>
  <r>
    <s v="10/01/2021"/>
    <x v="9"/>
    <n v="2021"/>
    <x v="0"/>
    <x v="0"/>
    <n v="76664.72"/>
    <n v="78145.22"/>
    <n v="-1480.5"/>
    <m/>
    <s v="Q4"/>
  </r>
  <r>
    <s v="10/01/2021"/>
    <x v="9"/>
    <n v="2021"/>
    <x v="1"/>
    <x v="1"/>
    <n v="19341.93"/>
    <n v="19216.060000000001"/>
    <n v="125.86"/>
    <m/>
    <s v="Q4"/>
  </r>
  <r>
    <s v="10/01/2021"/>
    <x v="9"/>
    <n v="2021"/>
    <x v="2"/>
    <x v="2"/>
    <n v="18193.71"/>
    <n v="21388.799999999999"/>
    <n v="-3195.08"/>
    <m/>
    <s v="Q4"/>
  </r>
  <r>
    <s v="10/01/2021"/>
    <x v="9"/>
    <n v="2021"/>
    <x v="3"/>
    <x v="2"/>
    <n v="4444.57"/>
    <n v="5102.9399999999996"/>
    <n v="-658.37"/>
    <m/>
    <s v="Q4"/>
  </r>
  <r>
    <s v="10/01/2021"/>
    <x v="9"/>
    <n v="2021"/>
    <x v="4"/>
    <x v="3"/>
    <n v="12860.7"/>
    <n v="11830.1"/>
    <n v="1030.5899999999999"/>
    <m/>
    <s v="Q4"/>
  </r>
  <r>
    <s v="10/01/2021"/>
    <x v="9"/>
    <n v="2021"/>
    <x v="5"/>
    <x v="0"/>
    <n v="2746.63"/>
    <n v="3005.79"/>
    <n v="-259.16000000000003"/>
    <m/>
    <s v="Q4"/>
  </r>
  <r>
    <s v="10/01/2021"/>
    <x v="9"/>
    <n v="2021"/>
    <x v="6"/>
    <x v="4"/>
    <n v="8253.94"/>
    <n v="7828.33"/>
    <n v="425.61"/>
    <m/>
    <s v="Q4"/>
  </r>
  <r>
    <s v="10/01/2021"/>
    <x v="9"/>
    <n v="2021"/>
    <x v="7"/>
    <x v="0"/>
    <n v="3980.11"/>
    <n v="3912.36"/>
    <n v="67.75"/>
    <m/>
    <s v="Q4"/>
  </r>
  <r>
    <s v="10/01/2021"/>
    <x v="9"/>
    <n v="2021"/>
    <x v="8"/>
    <x v="0"/>
    <n v="5695.01"/>
    <n v="6008.2"/>
    <n v="-313.2"/>
    <m/>
    <s v="Q4"/>
  </r>
  <r>
    <s v="10/01/2021"/>
    <x v="9"/>
    <n v="2021"/>
    <x v="9"/>
    <x v="2"/>
    <n v="5591.47"/>
    <n v="5321.59"/>
    <n v="269.88"/>
    <m/>
    <s v="Q4"/>
  </r>
  <r>
    <s v="10/01/2021"/>
    <x v="9"/>
    <n v="2021"/>
    <x v="10"/>
    <x v="0"/>
    <n v="6672.79"/>
    <n v="6574.72"/>
    <n v="98.07"/>
    <m/>
    <s v="Q4"/>
  </r>
  <r>
    <s v="10/01/2021"/>
    <x v="9"/>
    <n v="2021"/>
    <x v="11"/>
    <x v="3"/>
    <n v="9422.8799999999992"/>
    <n v="8821.32"/>
    <n v="601.57000000000005"/>
    <m/>
    <s v="Q4"/>
  </r>
  <r>
    <s v="11/01/2021"/>
    <x v="10"/>
    <n v="2021"/>
    <x v="0"/>
    <x v="0"/>
    <n v="77381.100000000006"/>
    <n v="78097.95"/>
    <n v="-716.85"/>
    <m/>
    <s v="Q4"/>
  </r>
  <r>
    <s v="11/01/2021"/>
    <x v="10"/>
    <n v="2021"/>
    <x v="1"/>
    <x v="1"/>
    <n v="21166.46"/>
    <n v="19795.419999999998"/>
    <n v="1371.04"/>
    <m/>
    <s v="Q4"/>
  </r>
  <r>
    <s v="11/01/2021"/>
    <x v="10"/>
    <n v="2021"/>
    <x v="2"/>
    <x v="2"/>
    <n v="18763.89"/>
    <n v="19279.82"/>
    <n v="-515.92999999999995"/>
    <m/>
    <s v="Q4"/>
  </r>
  <r>
    <s v="11/01/2021"/>
    <x v="10"/>
    <n v="2021"/>
    <x v="3"/>
    <x v="2"/>
    <n v="4671.1499999999996"/>
    <n v="4928.76"/>
    <n v="-257.61"/>
    <m/>
    <s v="Q4"/>
  </r>
  <r>
    <s v="11/01/2021"/>
    <x v="10"/>
    <n v="2021"/>
    <x v="4"/>
    <x v="3"/>
    <n v="13044.94"/>
    <n v="12635.56"/>
    <n v="409.37"/>
    <m/>
    <s v="Q4"/>
  </r>
  <r>
    <s v="11/01/2021"/>
    <x v="10"/>
    <n v="2021"/>
    <x v="5"/>
    <x v="0"/>
    <n v="3098.47"/>
    <n v="2886.52"/>
    <n v="211.95"/>
    <m/>
    <s v="Q4"/>
  </r>
  <r>
    <s v="11/01/2021"/>
    <x v="10"/>
    <n v="2021"/>
    <x v="6"/>
    <x v="4"/>
    <n v="9212.16"/>
    <n v="8509.32"/>
    <n v="702.85"/>
    <m/>
    <s v="Q4"/>
  </r>
  <r>
    <s v="11/01/2021"/>
    <x v="10"/>
    <n v="2021"/>
    <x v="7"/>
    <x v="0"/>
    <n v="3669.78"/>
    <n v="3817.68"/>
    <n v="-147.88999999999999"/>
    <m/>
    <s v="Q4"/>
  </r>
  <r>
    <s v="11/01/2021"/>
    <x v="10"/>
    <n v="2021"/>
    <x v="8"/>
    <x v="0"/>
    <n v="5875.45"/>
    <n v="6228.04"/>
    <n v="-352.59"/>
    <m/>
    <s v="Q4"/>
  </r>
  <r>
    <s v="11/01/2021"/>
    <x v="10"/>
    <n v="2021"/>
    <x v="9"/>
    <x v="2"/>
    <n v="5380.55"/>
    <n v="5066.57"/>
    <n v="313.98"/>
    <m/>
    <s v="Q4"/>
  </r>
  <r>
    <s v="11/01/2021"/>
    <x v="10"/>
    <n v="2021"/>
    <x v="10"/>
    <x v="0"/>
    <n v="6772.94"/>
    <n v="6805.34"/>
    <n v="-32.409999999999997"/>
    <m/>
    <s v="Q4"/>
  </r>
  <r>
    <s v="11/01/2021"/>
    <x v="10"/>
    <n v="2021"/>
    <x v="11"/>
    <x v="3"/>
    <n v="7459.02"/>
    <n v="8124.86"/>
    <n v="-665.84"/>
    <m/>
    <s v="Q4"/>
  </r>
  <r>
    <s v="12/01/2021"/>
    <x v="11"/>
    <n v="2021"/>
    <x v="0"/>
    <x v="0"/>
    <n v="71468.53"/>
    <n v="79393.84"/>
    <n v="-7925.3"/>
    <m/>
    <s v="Q4"/>
  </r>
  <r>
    <s v="12/01/2021"/>
    <x v="11"/>
    <n v="2021"/>
    <x v="1"/>
    <x v="1"/>
    <n v="18114.68"/>
    <n v="20454.96"/>
    <n v="-2340.2800000000002"/>
    <m/>
    <s v="Q4"/>
  </r>
  <r>
    <s v="12/01/2021"/>
    <x v="11"/>
    <n v="2021"/>
    <x v="2"/>
    <x v="2"/>
    <n v="19942.400000000001"/>
    <n v="19735.97"/>
    <n v="206.42"/>
    <m/>
    <s v="Q4"/>
  </r>
  <r>
    <s v="12/01/2021"/>
    <x v="11"/>
    <n v="2021"/>
    <x v="3"/>
    <x v="2"/>
    <n v="5771.27"/>
    <n v="6520.24"/>
    <n v="-748.97"/>
    <m/>
    <s v="Q4"/>
  </r>
  <r>
    <s v="12/01/2021"/>
    <x v="11"/>
    <n v="2021"/>
    <x v="4"/>
    <x v="3"/>
    <n v="12428.91"/>
    <n v="12418.74"/>
    <n v="10.17"/>
    <m/>
    <s v="Q4"/>
  </r>
  <r>
    <s v="12/01/2021"/>
    <x v="11"/>
    <n v="2021"/>
    <x v="5"/>
    <x v="0"/>
    <n v="3019.3"/>
    <n v="2911.66"/>
    <n v="107.64"/>
    <m/>
    <s v="Q4"/>
  </r>
  <r>
    <s v="12/01/2021"/>
    <x v="11"/>
    <n v="2021"/>
    <x v="6"/>
    <x v="4"/>
    <n v="7661.34"/>
    <n v="8047.77"/>
    <n v="-386.43"/>
    <m/>
    <s v="Q4"/>
  </r>
  <r>
    <s v="12/01/2021"/>
    <x v="11"/>
    <n v="2021"/>
    <x v="7"/>
    <x v="0"/>
    <n v="3884.82"/>
    <n v="4008.38"/>
    <n v="-123.56"/>
    <m/>
    <s v="Q4"/>
  </r>
  <r>
    <s v="12/01/2021"/>
    <x v="11"/>
    <n v="2021"/>
    <x v="8"/>
    <x v="0"/>
    <n v="6339.34"/>
    <n v="6020.43"/>
    <n v="318.91000000000003"/>
    <m/>
    <s v="Q4"/>
  </r>
  <r>
    <s v="12/01/2021"/>
    <x v="11"/>
    <n v="2021"/>
    <x v="9"/>
    <x v="2"/>
    <n v="4719.22"/>
    <n v="5237.8999999999996"/>
    <n v="-518.67999999999995"/>
    <m/>
    <s v="Q4"/>
  </r>
  <r>
    <s v="12/01/2021"/>
    <x v="11"/>
    <n v="2021"/>
    <x v="10"/>
    <x v="0"/>
    <n v="6284.81"/>
    <n v="7447.94"/>
    <n v="-1163.1199999999999"/>
    <m/>
    <s v="Q4"/>
  </r>
  <r>
    <s v="12/01/2021"/>
    <x v="11"/>
    <n v="2021"/>
    <x v="11"/>
    <x v="3"/>
    <n v="9380.68"/>
    <n v="8959.02"/>
    <n v="421.66"/>
    <m/>
    <s v="Q4"/>
  </r>
  <r>
    <s v="01/01/2022"/>
    <x v="12"/>
    <n v="2022"/>
    <x v="0"/>
    <x v="0"/>
    <n v="80488.28"/>
    <n v="84708.1"/>
    <n v="-4219.82"/>
    <m/>
    <s v="Q1"/>
  </r>
  <r>
    <s v="01/01/2022"/>
    <x v="12"/>
    <n v="2022"/>
    <x v="1"/>
    <x v="1"/>
    <n v="15034.36"/>
    <n v="15651.66"/>
    <n v="-617.29999999999995"/>
    <m/>
    <s v="Q1"/>
  </r>
  <r>
    <s v="01/01/2022"/>
    <x v="12"/>
    <n v="2022"/>
    <x v="2"/>
    <x v="2"/>
    <n v="22030.799999999999"/>
    <n v="20628.7"/>
    <n v="1402.09"/>
    <m/>
    <s v="Q1"/>
  </r>
  <r>
    <s v="01/01/2022"/>
    <x v="12"/>
    <n v="2022"/>
    <x v="3"/>
    <x v="2"/>
    <n v="6265.11"/>
    <n v="6632.79"/>
    <n v="-367.67"/>
    <m/>
    <s v="Q1"/>
  </r>
  <r>
    <s v="01/01/2022"/>
    <x v="12"/>
    <n v="2022"/>
    <x v="4"/>
    <x v="3"/>
    <n v="13258.17"/>
    <n v="12940.05"/>
    <n v="318.12"/>
    <m/>
    <s v="Q1"/>
  </r>
  <r>
    <s v="01/01/2022"/>
    <x v="12"/>
    <n v="2022"/>
    <x v="5"/>
    <x v="0"/>
    <n v="3389.35"/>
    <n v="3226.82"/>
    <n v="162.54"/>
    <m/>
    <s v="Q1"/>
  </r>
  <r>
    <s v="01/01/2022"/>
    <x v="12"/>
    <n v="2022"/>
    <x v="6"/>
    <x v="4"/>
    <n v="7824.01"/>
    <n v="8191.09"/>
    <n v="-367.08"/>
    <m/>
    <s v="Q1"/>
  </r>
  <r>
    <s v="01/01/2022"/>
    <x v="12"/>
    <n v="2022"/>
    <x v="7"/>
    <x v="0"/>
    <n v="4503.84"/>
    <n v="4294.16"/>
    <n v="209.68"/>
    <m/>
    <s v="Q1"/>
  </r>
  <r>
    <s v="01/01/2022"/>
    <x v="12"/>
    <n v="2022"/>
    <x v="8"/>
    <x v="0"/>
    <n v="6355.15"/>
    <n v="6296.05"/>
    <n v="59.1"/>
    <m/>
    <s v="Q1"/>
  </r>
  <r>
    <s v="01/01/2022"/>
    <x v="12"/>
    <n v="2022"/>
    <x v="9"/>
    <x v="2"/>
    <n v="5193.25"/>
    <n v="5451.23"/>
    <n v="-257.98"/>
    <m/>
    <s v="Q1"/>
  </r>
  <r>
    <s v="01/01/2022"/>
    <x v="12"/>
    <n v="2022"/>
    <x v="10"/>
    <x v="0"/>
    <n v="7349.79"/>
    <n v="7470.63"/>
    <n v="-120.84"/>
    <m/>
    <s v="Q1"/>
  </r>
  <r>
    <s v="01/01/2022"/>
    <x v="12"/>
    <n v="2022"/>
    <x v="11"/>
    <x v="3"/>
    <n v="10213.540000000001"/>
    <n v="9388.2900000000009"/>
    <n v="825.25"/>
    <m/>
    <s v="Q1"/>
  </r>
  <r>
    <s v="02/01/2022"/>
    <x v="13"/>
    <n v="2022"/>
    <x v="0"/>
    <x v="0"/>
    <n v="91682.21"/>
    <n v="86080.05"/>
    <n v="5602.16"/>
    <m/>
    <s v="Q1"/>
  </r>
  <r>
    <s v="02/01/2022"/>
    <x v="13"/>
    <n v="2022"/>
    <x v="1"/>
    <x v="1"/>
    <n v="16394.34"/>
    <n v="16366.84"/>
    <n v="27.5"/>
    <m/>
    <s v="Q1"/>
  </r>
  <r>
    <s v="02/01/2022"/>
    <x v="13"/>
    <n v="2022"/>
    <x v="2"/>
    <x v="2"/>
    <n v="20897.72"/>
    <n v="21429.63"/>
    <n v="-531.91"/>
    <m/>
    <s v="Q1"/>
  </r>
  <r>
    <s v="02/01/2022"/>
    <x v="13"/>
    <n v="2022"/>
    <x v="3"/>
    <x v="2"/>
    <n v="6557.33"/>
    <n v="6626.32"/>
    <n v="-68.989999999999995"/>
    <m/>
    <s v="Q1"/>
  </r>
  <r>
    <s v="02/01/2022"/>
    <x v="13"/>
    <n v="2022"/>
    <x v="4"/>
    <x v="3"/>
    <n v="13238.33"/>
    <n v="12636.66"/>
    <n v="601.66"/>
    <m/>
    <s v="Q1"/>
  </r>
  <r>
    <s v="02/01/2022"/>
    <x v="13"/>
    <n v="2022"/>
    <x v="5"/>
    <x v="0"/>
    <n v="3587.02"/>
    <n v="3072.68"/>
    <n v="514.34"/>
    <m/>
    <s v="Q1"/>
  </r>
  <r>
    <s v="02/01/2022"/>
    <x v="13"/>
    <n v="2022"/>
    <x v="6"/>
    <x v="4"/>
    <n v="7355.17"/>
    <n v="8146.48"/>
    <n v="-791.31"/>
    <m/>
    <s v="Q1"/>
  </r>
  <r>
    <s v="02/01/2022"/>
    <x v="13"/>
    <n v="2022"/>
    <x v="7"/>
    <x v="0"/>
    <n v="4621.16"/>
    <n v="4345.92"/>
    <n v="275.24"/>
    <m/>
    <s v="Q1"/>
  </r>
  <r>
    <s v="02/01/2022"/>
    <x v="13"/>
    <n v="2022"/>
    <x v="8"/>
    <x v="0"/>
    <n v="6740.57"/>
    <n v="6417.96"/>
    <n v="322.62"/>
    <m/>
    <s v="Q1"/>
  </r>
  <r>
    <s v="02/01/2022"/>
    <x v="13"/>
    <n v="2022"/>
    <x v="9"/>
    <x v="2"/>
    <n v="4871.3599999999997"/>
    <n v="5248.07"/>
    <n v="-376.71"/>
    <m/>
    <s v="Q1"/>
  </r>
  <r>
    <s v="02/01/2022"/>
    <x v="13"/>
    <n v="2022"/>
    <x v="10"/>
    <x v="0"/>
    <n v="6967.64"/>
    <n v="7366.71"/>
    <n v="-399.08"/>
    <m/>
    <s v="Q1"/>
  </r>
  <r>
    <s v="02/01/2022"/>
    <x v="13"/>
    <n v="2022"/>
    <x v="11"/>
    <x v="3"/>
    <n v="9612.02"/>
    <n v="9726.4500000000007"/>
    <n v="-114.43"/>
    <m/>
    <s v="Q1"/>
  </r>
  <r>
    <s v="03/01/2022"/>
    <x v="14"/>
    <n v="2022"/>
    <x v="0"/>
    <x v="0"/>
    <n v="79813.52"/>
    <n v="81919.75"/>
    <n v="-2106.23"/>
    <m/>
    <s v="Q1"/>
  </r>
  <r>
    <s v="03/01/2022"/>
    <x v="14"/>
    <n v="2022"/>
    <x v="1"/>
    <x v="1"/>
    <n v="15226.02"/>
    <n v="15945.11"/>
    <n v="-719.09"/>
    <m/>
    <s v="Q1"/>
  </r>
  <r>
    <s v="03/01/2022"/>
    <x v="14"/>
    <n v="2022"/>
    <x v="2"/>
    <x v="2"/>
    <n v="20881.3"/>
    <n v="20482"/>
    <n v="399.3"/>
    <m/>
    <s v="Q1"/>
  </r>
  <r>
    <s v="03/01/2022"/>
    <x v="14"/>
    <n v="2022"/>
    <x v="3"/>
    <x v="2"/>
    <n v="5074.1000000000004"/>
    <n v="5288.58"/>
    <n v="-214.48"/>
    <m/>
    <s v="Q1"/>
  </r>
  <r>
    <s v="03/01/2022"/>
    <x v="14"/>
    <n v="2022"/>
    <x v="4"/>
    <x v="3"/>
    <n v="12652.55"/>
    <n v="12421.95"/>
    <n v="230.6"/>
    <m/>
    <s v="Q1"/>
  </r>
  <r>
    <s v="03/01/2022"/>
    <x v="14"/>
    <n v="2022"/>
    <x v="5"/>
    <x v="0"/>
    <n v="2673.88"/>
    <n v="3013.16"/>
    <n v="-339.27"/>
    <m/>
    <s v="Q1"/>
  </r>
  <r>
    <s v="03/01/2022"/>
    <x v="14"/>
    <n v="2022"/>
    <x v="6"/>
    <x v="4"/>
    <n v="8078.61"/>
    <n v="8218.9500000000007"/>
    <n v="-140.34"/>
    <m/>
    <s v="Q1"/>
  </r>
  <r>
    <s v="03/01/2022"/>
    <x v="14"/>
    <n v="2022"/>
    <x v="7"/>
    <x v="0"/>
    <n v="4739.5200000000004"/>
    <n v="4239.17"/>
    <n v="500.34"/>
    <m/>
    <s v="Q1"/>
  </r>
  <r>
    <s v="03/01/2022"/>
    <x v="14"/>
    <n v="2022"/>
    <x v="8"/>
    <x v="0"/>
    <n v="6379.41"/>
    <n v="6462.1"/>
    <n v="-82.68"/>
    <m/>
    <s v="Q1"/>
  </r>
  <r>
    <s v="03/01/2022"/>
    <x v="14"/>
    <n v="2022"/>
    <x v="9"/>
    <x v="2"/>
    <n v="4826.18"/>
    <n v="5247"/>
    <n v="-420.82"/>
    <m/>
    <s v="Q1"/>
  </r>
  <r>
    <s v="03/01/2022"/>
    <x v="14"/>
    <n v="2022"/>
    <x v="10"/>
    <x v="0"/>
    <n v="7176.28"/>
    <n v="7345.92"/>
    <n v="-169.64"/>
    <m/>
    <s v="Q1"/>
  </r>
  <r>
    <s v="03/01/2022"/>
    <x v="14"/>
    <n v="2022"/>
    <x v="11"/>
    <x v="3"/>
    <n v="8910.0499999999993"/>
    <n v="9541.49"/>
    <n v="-631.44000000000005"/>
    <m/>
    <s v="Q1"/>
  </r>
  <r>
    <s v="04/01/2022"/>
    <x v="15"/>
    <n v="2022"/>
    <x v="0"/>
    <x v="0"/>
    <n v="95769.24"/>
    <n v="85308.75"/>
    <n v="10460.48"/>
    <m/>
    <s v="Q2"/>
  </r>
  <r>
    <s v="04/01/2022"/>
    <x v="15"/>
    <n v="2022"/>
    <x v="1"/>
    <x v="1"/>
    <n v="16203.12"/>
    <n v="15698.61"/>
    <n v="504.51"/>
    <m/>
    <s v="Q2"/>
  </r>
  <r>
    <s v="04/01/2022"/>
    <x v="15"/>
    <n v="2022"/>
    <x v="2"/>
    <x v="2"/>
    <n v="20746.78"/>
    <n v="21434.79"/>
    <n v="-688.01"/>
    <m/>
    <s v="Q2"/>
  </r>
  <r>
    <s v="04/01/2022"/>
    <x v="15"/>
    <n v="2022"/>
    <x v="3"/>
    <x v="2"/>
    <n v="5290.62"/>
    <n v="5285.29"/>
    <n v="5.32"/>
    <m/>
    <s v="Q2"/>
  </r>
  <r>
    <s v="04/01/2022"/>
    <x v="15"/>
    <n v="2022"/>
    <x v="4"/>
    <x v="3"/>
    <n v="11855.44"/>
    <n v="12636.92"/>
    <n v="-781.48"/>
    <m/>
    <s v="Q2"/>
  </r>
  <r>
    <s v="04/01/2022"/>
    <x v="15"/>
    <n v="2022"/>
    <x v="5"/>
    <x v="0"/>
    <n v="3277.9"/>
    <n v="3152.32"/>
    <n v="125.59"/>
    <m/>
    <s v="Q2"/>
  </r>
  <r>
    <s v="04/01/2022"/>
    <x v="15"/>
    <n v="2022"/>
    <x v="6"/>
    <x v="4"/>
    <n v="9438.3799999999992"/>
    <n v="8765.69"/>
    <n v="672.69"/>
    <m/>
    <s v="Q2"/>
  </r>
  <r>
    <s v="04/01/2022"/>
    <x v="15"/>
    <n v="2022"/>
    <x v="7"/>
    <x v="0"/>
    <n v="4196.82"/>
    <n v="4471.3"/>
    <n v="-274.48"/>
    <m/>
    <s v="Q2"/>
  </r>
  <r>
    <s v="04/01/2022"/>
    <x v="15"/>
    <n v="2022"/>
    <x v="8"/>
    <x v="0"/>
    <n v="6559.69"/>
    <n v="6464.87"/>
    <n v="94.82"/>
    <m/>
    <s v="Q2"/>
  </r>
  <r>
    <s v="04/01/2022"/>
    <x v="15"/>
    <n v="2022"/>
    <x v="9"/>
    <x v="2"/>
    <n v="5233.1099999999997"/>
    <n v="5594.89"/>
    <n v="-361.79"/>
    <m/>
    <s v="Q2"/>
  </r>
  <r>
    <s v="04/01/2022"/>
    <x v="15"/>
    <n v="2022"/>
    <x v="10"/>
    <x v="0"/>
    <n v="6821.28"/>
    <n v="7164.84"/>
    <n v="-343.56"/>
    <m/>
    <s v="Q2"/>
  </r>
  <r>
    <s v="04/01/2022"/>
    <x v="15"/>
    <n v="2022"/>
    <x v="11"/>
    <x v="3"/>
    <n v="8475.73"/>
    <n v="8847.8799999999992"/>
    <n v="-372.15"/>
    <m/>
    <s v="Q2"/>
  </r>
  <r>
    <s v="05/01/2022"/>
    <x v="16"/>
    <n v="2022"/>
    <x v="0"/>
    <x v="0"/>
    <n v="83074.62"/>
    <n v="82086.990000000005"/>
    <n v="987.63"/>
    <m/>
    <s v="Q2"/>
  </r>
  <r>
    <s v="05/01/2022"/>
    <x v="16"/>
    <n v="2022"/>
    <x v="1"/>
    <x v="1"/>
    <n v="18299.689999999999"/>
    <n v="15911.48"/>
    <n v="2388.21"/>
    <m/>
    <s v="Q2"/>
  </r>
  <r>
    <s v="05/01/2022"/>
    <x v="16"/>
    <n v="2022"/>
    <x v="2"/>
    <x v="2"/>
    <n v="20601.93"/>
    <n v="21598.77"/>
    <n v="-996.83"/>
    <m/>
    <s v="Q2"/>
  </r>
  <r>
    <s v="05/01/2022"/>
    <x v="16"/>
    <n v="2022"/>
    <x v="3"/>
    <x v="2"/>
    <n v="5309.54"/>
    <n v="5108.5"/>
    <n v="201.04"/>
    <m/>
    <s v="Q2"/>
  </r>
  <r>
    <s v="05/01/2022"/>
    <x v="16"/>
    <n v="2022"/>
    <x v="4"/>
    <x v="3"/>
    <n v="13873.94"/>
    <n v="12100.95"/>
    <n v="1772.99"/>
    <m/>
    <s v="Q2"/>
  </r>
  <r>
    <s v="05/01/2022"/>
    <x v="16"/>
    <n v="2022"/>
    <x v="5"/>
    <x v="0"/>
    <n v="3139.04"/>
    <n v="3261.46"/>
    <n v="-122.42"/>
    <m/>
    <s v="Q2"/>
  </r>
  <r>
    <s v="05/01/2022"/>
    <x v="16"/>
    <n v="2022"/>
    <x v="6"/>
    <x v="4"/>
    <n v="8831.33"/>
    <n v="7968.29"/>
    <n v="863.04"/>
    <m/>
    <s v="Q2"/>
  </r>
  <r>
    <s v="05/01/2022"/>
    <x v="16"/>
    <n v="2022"/>
    <x v="7"/>
    <x v="0"/>
    <n v="4600.05"/>
    <n v="4185.57"/>
    <n v="414.48"/>
    <m/>
    <s v="Q2"/>
  </r>
  <r>
    <s v="05/01/2022"/>
    <x v="16"/>
    <n v="2022"/>
    <x v="8"/>
    <x v="0"/>
    <n v="5711.02"/>
    <n v="5998.65"/>
    <n v="-287.64"/>
    <m/>
    <s v="Q2"/>
  </r>
  <r>
    <s v="05/01/2022"/>
    <x v="16"/>
    <n v="2022"/>
    <x v="9"/>
    <x v="2"/>
    <n v="5270.56"/>
    <n v="5250.83"/>
    <n v="19.73"/>
    <m/>
    <s v="Q2"/>
  </r>
  <r>
    <s v="05/01/2022"/>
    <x v="16"/>
    <n v="2022"/>
    <x v="10"/>
    <x v="0"/>
    <n v="7612.05"/>
    <n v="7250.76"/>
    <n v="361.29"/>
    <m/>
    <s v="Q2"/>
  </r>
  <r>
    <s v="05/01/2022"/>
    <x v="16"/>
    <n v="2022"/>
    <x v="11"/>
    <x v="3"/>
    <n v="9043.14"/>
    <n v="9147.33"/>
    <n v="-104.19"/>
    <m/>
    <s v="Q2"/>
  </r>
  <r>
    <s v="06/01/2022"/>
    <x v="17"/>
    <n v="2022"/>
    <x v="0"/>
    <x v="0"/>
    <n v="87772.65"/>
    <n v="84303.14"/>
    <n v="3469.5"/>
    <m/>
    <s v="Q2"/>
  </r>
  <r>
    <s v="06/01/2022"/>
    <x v="17"/>
    <n v="2022"/>
    <x v="1"/>
    <x v="1"/>
    <n v="14638.94"/>
    <n v="16086.24"/>
    <n v="-1447.3"/>
    <m/>
    <s v="Q2"/>
  </r>
  <r>
    <s v="06/01/2022"/>
    <x v="17"/>
    <n v="2022"/>
    <x v="2"/>
    <x v="2"/>
    <n v="22081.22"/>
    <n v="20033.509999999998"/>
    <n v="2047.71"/>
    <m/>
    <s v="Q2"/>
  </r>
  <r>
    <s v="06/01/2022"/>
    <x v="17"/>
    <n v="2022"/>
    <x v="3"/>
    <x v="2"/>
    <n v="4984.84"/>
    <n v="5302.34"/>
    <n v="-317.5"/>
    <m/>
    <s v="Q2"/>
  </r>
  <r>
    <s v="06/01/2022"/>
    <x v="17"/>
    <n v="2022"/>
    <x v="4"/>
    <x v="3"/>
    <n v="13308.36"/>
    <n v="13186.34"/>
    <n v="122.03"/>
    <m/>
    <s v="Q2"/>
  </r>
  <r>
    <s v="06/01/2022"/>
    <x v="17"/>
    <n v="2022"/>
    <x v="5"/>
    <x v="0"/>
    <n v="3279.06"/>
    <n v="3261.44"/>
    <n v="17.62"/>
    <m/>
    <s v="Q2"/>
  </r>
  <r>
    <s v="06/01/2022"/>
    <x v="17"/>
    <n v="2022"/>
    <x v="6"/>
    <x v="4"/>
    <n v="14240.55"/>
    <n v="12487.03"/>
    <n v="1753.52"/>
    <m/>
    <s v="Q2"/>
  </r>
  <r>
    <s v="06/01/2022"/>
    <x v="17"/>
    <n v="2022"/>
    <x v="7"/>
    <x v="0"/>
    <n v="4492.6400000000003"/>
    <n v="4168.63"/>
    <n v="324.01"/>
    <m/>
    <s v="Q2"/>
  </r>
  <r>
    <s v="06/01/2022"/>
    <x v="17"/>
    <n v="2022"/>
    <x v="8"/>
    <x v="0"/>
    <n v="7125.12"/>
    <n v="6421.98"/>
    <n v="703.15"/>
    <m/>
    <s v="Q2"/>
  </r>
  <r>
    <s v="06/01/2022"/>
    <x v="17"/>
    <n v="2022"/>
    <x v="9"/>
    <x v="2"/>
    <n v="5377.83"/>
    <n v="5098.0200000000004"/>
    <n v="279.8"/>
    <m/>
    <s v="Q2"/>
  </r>
  <r>
    <s v="06/01/2022"/>
    <x v="17"/>
    <n v="2022"/>
    <x v="10"/>
    <x v="0"/>
    <n v="6516.41"/>
    <n v="7583.38"/>
    <n v="-1066.98"/>
    <m/>
    <s v="Q2"/>
  </r>
  <r>
    <s v="06/01/2022"/>
    <x v="17"/>
    <n v="2022"/>
    <x v="11"/>
    <x v="3"/>
    <n v="7627.61"/>
    <n v="9114.5499999999993"/>
    <n v="-1486.93"/>
    <m/>
    <s v="Q2"/>
  </r>
  <r>
    <s v="07/01/2022"/>
    <x v="18"/>
    <n v="2022"/>
    <x v="0"/>
    <x v="0"/>
    <n v="88104.01"/>
    <n v="83321.09"/>
    <n v="4782.91"/>
    <m/>
    <s v="Q3"/>
  </r>
  <r>
    <s v="07/01/2022"/>
    <x v="18"/>
    <n v="2022"/>
    <x v="1"/>
    <x v="1"/>
    <n v="16557.43"/>
    <n v="16459.86"/>
    <n v="97.57"/>
    <m/>
    <s v="Q3"/>
  </r>
  <r>
    <s v="07/01/2022"/>
    <x v="18"/>
    <n v="2022"/>
    <x v="2"/>
    <x v="2"/>
    <n v="19594.18"/>
    <n v="22026.03"/>
    <n v="-2431.85"/>
    <m/>
    <s v="Q3"/>
  </r>
  <r>
    <s v="07/01/2022"/>
    <x v="18"/>
    <n v="2022"/>
    <x v="3"/>
    <x v="2"/>
    <n v="4959.58"/>
    <n v="4981.72"/>
    <n v="-22.14"/>
    <m/>
    <s v="Q3"/>
  </r>
  <r>
    <s v="07/01/2022"/>
    <x v="18"/>
    <n v="2022"/>
    <x v="4"/>
    <x v="3"/>
    <n v="12711.84"/>
    <n v="12745.18"/>
    <n v="-33.340000000000003"/>
    <m/>
    <s v="Q3"/>
  </r>
  <r>
    <s v="07/01/2022"/>
    <x v="18"/>
    <n v="2022"/>
    <x v="5"/>
    <x v="0"/>
    <n v="2933.56"/>
    <n v="2954.63"/>
    <n v="-21.07"/>
    <m/>
    <s v="Q3"/>
  </r>
  <r>
    <s v="07/01/2022"/>
    <x v="18"/>
    <n v="2022"/>
    <x v="6"/>
    <x v="4"/>
    <n v="11905.16"/>
    <n v="11299.78"/>
    <n v="605.37"/>
    <m/>
    <s v="Q3"/>
  </r>
  <r>
    <s v="07/01/2022"/>
    <x v="18"/>
    <n v="2022"/>
    <x v="7"/>
    <x v="0"/>
    <n v="3926.92"/>
    <n v="4246.1899999999996"/>
    <n v="-319.27"/>
    <m/>
    <s v="Q3"/>
  </r>
  <r>
    <s v="07/01/2022"/>
    <x v="18"/>
    <n v="2022"/>
    <x v="8"/>
    <x v="0"/>
    <n v="5677.27"/>
    <n v="6202.88"/>
    <n v="-525.61"/>
    <m/>
    <s v="Q3"/>
  </r>
  <r>
    <s v="07/01/2022"/>
    <x v="18"/>
    <n v="2022"/>
    <x v="9"/>
    <x v="2"/>
    <n v="5640.53"/>
    <n v="5240.13"/>
    <n v="400.41"/>
    <m/>
    <s v="Q3"/>
  </r>
  <r>
    <s v="07/01/2022"/>
    <x v="18"/>
    <n v="2022"/>
    <x v="10"/>
    <x v="0"/>
    <n v="7420.26"/>
    <n v="7132.65"/>
    <n v="287.61"/>
    <m/>
    <s v="Q3"/>
  </r>
  <r>
    <s v="07/01/2022"/>
    <x v="18"/>
    <n v="2022"/>
    <x v="11"/>
    <x v="3"/>
    <n v="8709.7999999999993"/>
    <n v="9299.67"/>
    <n v="-589.88"/>
    <m/>
    <s v="Q3"/>
  </r>
  <r>
    <s v="08/01/2022"/>
    <x v="19"/>
    <n v="2022"/>
    <x v="0"/>
    <x v="0"/>
    <n v="76795.789999999994"/>
    <n v="83730.28"/>
    <n v="-6934.49"/>
    <m/>
    <s v="Q3"/>
  </r>
  <r>
    <s v="08/01/2022"/>
    <x v="19"/>
    <n v="2022"/>
    <x v="1"/>
    <x v="1"/>
    <n v="14004.14"/>
    <n v="15488.4"/>
    <n v="-1484.26"/>
    <m/>
    <s v="Q3"/>
  </r>
  <r>
    <s v="08/01/2022"/>
    <x v="19"/>
    <n v="2022"/>
    <x v="2"/>
    <x v="2"/>
    <n v="22300.51"/>
    <n v="22237.78"/>
    <n v="62.73"/>
    <m/>
    <s v="Q3"/>
  </r>
  <r>
    <s v="08/01/2022"/>
    <x v="19"/>
    <n v="2022"/>
    <x v="3"/>
    <x v="2"/>
    <n v="5227.78"/>
    <n v="5139.79"/>
    <n v="87.98"/>
    <m/>
    <s v="Q3"/>
  </r>
  <r>
    <s v="08/01/2022"/>
    <x v="19"/>
    <n v="2022"/>
    <x v="4"/>
    <x v="3"/>
    <n v="12335.55"/>
    <n v="12557.54"/>
    <n v="-221.99"/>
    <m/>
    <s v="Q3"/>
  </r>
  <r>
    <s v="08/01/2022"/>
    <x v="19"/>
    <n v="2022"/>
    <x v="5"/>
    <x v="0"/>
    <n v="3402.45"/>
    <n v="3208.04"/>
    <n v="194.41"/>
    <m/>
    <s v="Q3"/>
  </r>
  <r>
    <s v="08/01/2022"/>
    <x v="19"/>
    <n v="2022"/>
    <x v="6"/>
    <x v="4"/>
    <n v="11039.73"/>
    <n v="11572.84"/>
    <n v="-533.11"/>
    <m/>
    <s v="Q3"/>
  </r>
  <r>
    <s v="08/01/2022"/>
    <x v="19"/>
    <n v="2022"/>
    <x v="7"/>
    <x v="0"/>
    <n v="3398.28"/>
    <n v="4165.34"/>
    <n v="-767.06"/>
    <m/>
    <s v="Q3"/>
  </r>
  <r>
    <s v="08/01/2022"/>
    <x v="19"/>
    <n v="2022"/>
    <x v="8"/>
    <x v="0"/>
    <n v="6671.22"/>
    <n v="6013.63"/>
    <n v="657.59"/>
    <m/>
    <s v="Q3"/>
  </r>
  <r>
    <s v="08/01/2022"/>
    <x v="19"/>
    <n v="2022"/>
    <x v="9"/>
    <x v="2"/>
    <n v="5399.33"/>
    <n v="5509.08"/>
    <n v="-109.76"/>
    <m/>
    <s v="Q3"/>
  </r>
  <r>
    <s v="08/01/2022"/>
    <x v="19"/>
    <n v="2022"/>
    <x v="10"/>
    <x v="0"/>
    <n v="7663.31"/>
    <n v="7477.13"/>
    <n v="186.18"/>
    <m/>
    <s v="Q3"/>
  </r>
  <r>
    <s v="08/01/2022"/>
    <x v="19"/>
    <n v="2022"/>
    <x v="11"/>
    <x v="3"/>
    <n v="11247.44"/>
    <n v="10322.86"/>
    <n v="924.58"/>
    <m/>
    <s v="Q3"/>
  </r>
  <r>
    <s v="09/01/2022"/>
    <x v="20"/>
    <n v="2022"/>
    <x v="0"/>
    <x v="0"/>
    <n v="77281.06"/>
    <n v="83677.649999999994"/>
    <n v="-6396.59"/>
    <m/>
    <s v="Q3"/>
  </r>
  <r>
    <s v="09/01/2022"/>
    <x v="20"/>
    <n v="2022"/>
    <x v="1"/>
    <x v="1"/>
    <n v="15234.96"/>
    <n v="14990.95"/>
    <n v="244.01"/>
    <m/>
    <s v="Q3"/>
  </r>
  <r>
    <s v="09/01/2022"/>
    <x v="20"/>
    <n v="2022"/>
    <x v="2"/>
    <x v="2"/>
    <n v="18188.330000000002"/>
    <n v="20523.5"/>
    <n v="-2335.17"/>
    <m/>
    <s v="Q3"/>
  </r>
  <r>
    <s v="09/01/2022"/>
    <x v="20"/>
    <n v="2022"/>
    <x v="3"/>
    <x v="2"/>
    <n v="4702.7299999999996"/>
    <n v="5148.16"/>
    <n v="-445.44"/>
    <m/>
    <s v="Q3"/>
  </r>
  <r>
    <s v="09/01/2022"/>
    <x v="20"/>
    <n v="2022"/>
    <x v="4"/>
    <x v="3"/>
    <n v="14171.41"/>
    <n v="13237.74"/>
    <n v="933.67"/>
    <m/>
    <s v="Q3"/>
  </r>
  <r>
    <s v="09/01/2022"/>
    <x v="20"/>
    <n v="2022"/>
    <x v="5"/>
    <x v="0"/>
    <n v="3522.1"/>
    <n v="3149.25"/>
    <n v="372.86"/>
    <m/>
    <s v="Q3"/>
  </r>
  <r>
    <s v="09/01/2022"/>
    <x v="20"/>
    <n v="2022"/>
    <x v="6"/>
    <x v="4"/>
    <n v="7839.37"/>
    <n v="8419.5"/>
    <n v="-580.13"/>
    <m/>
    <s v="Q3"/>
  </r>
  <r>
    <s v="09/01/2022"/>
    <x v="20"/>
    <n v="2022"/>
    <x v="7"/>
    <x v="0"/>
    <n v="4581.26"/>
    <n v="4391.91"/>
    <n v="189.35"/>
    <m/>
    <s v="Q3"/>
  </r>
  <r>
    <s v="09/01/2022"/>
    <x v="20"/>
    <n v="2022"/>
    <x v="8"/>
    <x v="0"/>
    <n v="6011.01"/>
    <n v="6103.96"/>
    <n v="-92.95"/>
    <m/>
    <s v="Q3"/>
  </r>
  <r>
    <s v="09/01/2022"/>
    <x v="20"/>
    <n v="2022"/>
    <x v="9"/>
    <x v="2"/>
    <n v="4546.57"/>
    <n v="5112.09"/>
    <n v="-565.52"/>
    <m/>
    <s v="Q3"/>
  </r>
  <r>
    <s v="09/01/2022"/>
    <x v="20"/>
    <n v="2022"/>
    <x v="10"/>
    <x v="0"/>
    <n v="8708.15"/>
    <n v="7554.22"/>
    <n v="1153.93"/>
    <m/>
    <s v="Q3"/>
  </r>
  <r>
    <s v="09/01/2022"/>
    <x v="20"/>
    <n v="2022"/>
    <x v="11"/>
    <x v="3"/>
    <n v="9461.25"/>
    <n v="9053.51"/>
    <n v="407.75"/>
    <m/>
    <s v="Q3"/>
  </r>
  <r>
    <s v="10/01/2022"/>
    <x v="21"/>
    <n v="2022"/>
    <x v="0"/>
    <x v="0"/>
    <n v="79150.789999999994"/>
    <n v="82360.38"/>
    <n v="-3209.59"/>
    <m/>
    <s v="Q4"/>
  </r>
  <r>
    <s v="10/01/2022"/>
    <x v="21"/>
    <n v="2022"/>
    <x v="1"/>
    <x v="1"/>
    <n v="18721.060000000001"/>
    <n v="20111.12"/>
    <n v="-1390.07"/>
    <m/>
    <s v="Q4"/>
  </r>
  <r>
    <s v="10/01/2022"/>
    <x v="21"/>
    <n v="2022"/>
    <x v="2"/>
    <x v="2"/>
    <n v="19632.54"/>
    <n v="21030.57"/>
    <n v="-1398.03"/>
    <m/>
    <s v="Q4"/>
  </r>
  <r>
    <s v="10/01/2022"/>
    <x v="21"/>
    <n v="2022"/>
    <x v="3"/>
    <x v="2"/>
    <n v="5271.33"/>
    <n v="5292.6"/>
    <n v="-21.27"/>
    <m/>
    <s v="Q4"/>
  </r>
  <r>
    <s v="10/01/2022"/>
    <x v="21"/>
    <n v="2022"/>
    <x v="4"/>
    <x v="3"/>
    <n v="11601.41"/>
    <n v="12509.68"/>
    <n v="-908.27"/>
    <m/>
    <s v="Q4"/>
  </r>
  <r>
    <s v="10/01/2022"/>
    <x v="21"/>
    <n v="2022"/>
    <x v="5"/>
    <x v="0"/>
    <n v="3282.56"/>
    <n v="3095.5"/>
    <n v="187.06"/>
    <m/>
    <s v="Q4"/>
  </r>
  <r>
    <s v="10/01/2022"/>
    <x v="21"/>
    <n v="2022"/>
    <x v="6"/>
    <x v="4"/>
    <n v="7859.44"/>
    <n v="8526.23"/>
    <n v="-666.79"/>
    <m/>
    <s v="Q4"/>
  </r>
  <r>
    <s v="10/01/2022"/>
    <x v="21"/>
    <n v="2022"/>
    <x v="7"/>
    <x v="0"/>
    <n v="4465.7299999999996"/>
    <n v="4212.5200000000004"/>
    <n v="253.22"/>
    <m/>
    <s v="Q4"/>
  </r>
  <r>
    <s v="10/01/2022"/>
    <x v="21"/>
    <n v="2022"/>
    <x v="8"/>
    <x v="0"/>
    <n v="6244.62"/>
    <n v="5984.48"/>
    <n v="260.14"/>
    <m/>
    <s v="Q4"/>
  </r>
  <r>
    <s v="10/01/2022"/>
    <x v="21"/>
    <n v="2022"/>
    <x v="9"/>
    <x v="2"/>
    <n v="5380.52"/>
    <n v="5145.6400000000003"/>
    <n v="234.89"/>
    <m/>
    <s v="Q4"/>
  </r>
  <r>
    <s v="10/01/2022"/>
    <x v="21"/>
    <n v="2022"/>
    <x v="10"/>
    <x v="0"/>
    <n v="6144.73"/>
    <n v="7181.7"/>
    <n v="-1036.97"/>
    <m/>
    <s v="Q4"/>
  </r>
  <r>
    <s v="10/01/2022"/>
    <x v="21"/>
    <n v="2022"/>
    <x v="11"/>
    <x v="3"/>
    <n v="9023.17"/>
    <n v="8988.59"/>
    <n v="34.58"/>
    <m/>
    <s v="Q4"/>
  </r>
  <r>
    <s v="11/01/2022"/>
    <x v="22"/>
    <n v="2022"/>
    <x v="0"/>
    <x v="0"/>
    <n v="78530.14"/>
    <n v="84654.5"/>
    <n v="-6124.36"/>
    <m/>
    <s v="Q4"/>
  </r>
  <r>
    <s v="11/01/2022"/>
    <x v="22"/>
    <n v="2022"/>
    <x v="1"/>
    <x v="1"/>
    <n v="18093.55"/>
    <n v="20867.259999999998"/>
    <n v="-2773.71"/>
    <m/>
    <s v="Q4"/>
  </r>
  <r>
    <s v="11/01/2022"/>
    <x v="22"/>
    <n v="2022"/>
    <x v="2"/>
    <x v="2"/>
    <n v="18927.900000000001"/>
    <n v="20958.37"/>
    <n v="-2030.47"/>
    <m/>
    <s v="Q4"/>
  </r>
  <r>
    <s v="11/01/2022"/>
    <x v="22"/>
    <n v="2022"/>
    <x v="3"/>
    <x v="2"/>
    <n v="5166.8500000000004"/>
    <n v="5147.34"/>
    <n v="19.52"/>
    <m/>
    <s v="Q4"/>
  </r>
  <r>
    <s v="11/01/2022"/>
    <x v="22"/>
    <n v="2022"/>
    <x v="4"/>
    <x v="3"/>
    <n v="11897.14"/>
    <n v="12274.76"/>
    <n v="-377.63"/>
    <m/>
    <s v="Q4"/>
  </r>
  <r>
    <s v="11/01/2022"/>
    <x v="22"/>
    <n v="2022"/>
    <x v="5"/>
    <x v="0"/>
    <n v="3095.33"/>
    <n v="3245.09"/>
    <n v="-149.77000000000001"/>
    <m/>
    <s v="Q4"/>
  </r>
  <r>
    <s v="11/01/2022"/>
    <x v="22"/>
    <n v="2022"/>
    <x v="6"/>
    <x v="4"/>
    <n v="7832.4"/>
    <n v="8610.59"/>
    <n v="-778.2"/>
    <m/>
    <s v="Q4"/>
  </r>
  <r>
    <s v="11/01/2022"/>
    <x v="22"/>
    <n v="2022"/>
    <x v="7"/>
    <x v="0"/>
    <n v="4758.82"/>
    <n v="4266.76"/>
    <n v="492.07"/>
    <m/>
    <s v="Q4"/>
  </r>
  <r>
    <s v="11/01/2022"/>
    <x v="22"/>
    <n v="2022"/>
    <x v="8"/>
    <x v="0"/>
    <n v="5461"/>
    <n v="5832.86"/>
    <n v="-371.85"/>
    <m/>
    <s v="Q4"/>
  </r>
  <r>
    <s v="11/01/2022"/>
    <x v="22"/>
    <n v="2022"/>
    <x v="9"/>
    <x v="2"/>
    <n v="5254.13"/>
    <n v="5340.89"/>
    <n v="-86.76"/>
    <m/>
    <s v="Q4"/>
  </r>
  <r>
    <s v="11/01/2022"/>
    <x v="22"/>
    <n v="2022"/>
    <x v="10"/>
    <x v="0"/>
    <n v="7072.74"/>
    <n v="7431.84"/>
    <n v="-359.1"/>
    <m/>
    <s v="Q4"/>
  </r>
  <r>
    <s v="11/01/2022"/>
    <x v="22"/>
    <n v="2022"/>
    <x v="11"/>
    <x v="3"/>
    <n v="9356.5499999999993"/>
    <n v="9474.5499999999993"/>
    <n v="-118"/>
    <m/>
    <s v="Q4"/>
  </r>
  <r>
    <s v="12/01/2022"/>
    <x v="23"/>
    <n v="2022"/>
    <x v="0"/>
    <x v="0"/>
    <n v="88712.42"/>
    <n v="86942.81"/>
    <n v="1769.61"/>
    <m/>
    <s v="Q4"/>
  </r>
  <r>
    <s v="12/01/2022"/>
    <x v="23"/>
    <n v="2022"/>
    <x v="1"/>
    <x v="1"/>
    <n v="20000.89"/>
    <n v="20682.37"/>
    <n v="-681.49"/>
    <m/>
    <s v="Q4"/>
  </r>
  <r>
    <s v="12/01/2022"/>
    <x v="23"/>
    <n v="2022"/>
    <x v="2"/>
    <x v="2"/>
    <n v="19976.740000000002"/>
    <n v="20692.810000000001"/>
    <n v="-716.07"/>
    <m/>
    <s v="Q4"/>
  </r>
  <r>
    <s v="12/01/2022"/>
    <x v="23"/>
    <n v="2022"/>
    <x v="3"/>
    <x v="2"/>
    <n v="6416.53"/>
    <n v="6640.16"/>
    <n v="-223.63"/>
    <m/>
    <s v="Q4"/>
  </r>
  <r>
    <s v="12/01/2022"/>
    <x v="23"/>
    <n v="2022"/>
    <x v="4"/>
    <x v="3"/>
    <n v="14819.73"/>
    <n v="12709.53"/>
    <n v="2110.19"/>
    <m/>
    <s v="Q4"/>
  </r>
  <r>
    <s v="12/01/2022"/>
    <x v="23"/>
    <n v="2022"/>
    <x v="5"/>
    <x v="0"/>
    <n v="3148.02"/>
    <n v="3232.32"/>
    <n v="-84.31"/>
    <m/>
    <s v="Q4"/>
  </r>
  <r>
    <s v="12/01/2022"/>
    <x v="23"/>
    <n v="2022"/>
    <x v="6"/>
    <x v="4"/>
    <n v="8418.6"/>
    <n v="8702.7099999999991"/>
    <n v="-284.11"/>
    <m/>
    <s v="Q4"/>
  </r>
  <r>
    <s v="12/01/2022"/>
    <x v="23"/>
    <n v="2022"/>
    <x v="7"/>
    <x v="0"/>
    <n v="3625.19"/>
    <n v="3943.2"/>
    <n v="-318.01"/>
    <m/>
    <s v="Q4"/>
  </r>
  <r>
    <s v="12/01/2022"/>
    <x v="23"/>
    <n v="2022"/>
    <x v="8"/>
    <x v="0"/>
    <n v="5779.2"/>
    <n v="5946.42"/>
    <n v="-167.22"/>
    <m/>
    <s v="Q4"/>
  </r>
  <r>
    <s v="12/01/2022"/>
    <x v="23"/>
    <n v="2022"/>
    <x v="9"/>
    <x v="2"/>
    <n v="5957.39"/>
    <n v="5252.9"/>
    <n v="704.49"/>
    <m/>
    <s v="Q4"/>
  </r>
  <r>
    <s v="12/01/2022"/>
    <x v="23"/>
    <n v="2022"/>
    <x v="10"/>
    <x v="0"/>
    <n v="7291.99"/>
    <n v="7422.09"/>
    <n v="-130.09"/>
    <m/>
    <s v="Q4"/>
  </r>
  <r>
    <s v="12/01/2022"/>
    <x v="23"/>
    <n v="2022"/>
    <x v="11"/>
    <x v="3"/>
    <n v="7971.92"/>
    <n v="9685.14"/>
    <n v="-1713.21"/>
    <m/>
    <s v="Q4"/>
  </r>
  <r>
    <s v="01/01/2023"/>
    <x v="24"/>
    <n v="2023"/>
    <x v="0"/>
    <x v="0"/>
    <n v="94301.11"/>
    <n v="88823.44"/>
    <n v="5477.67"/>
    <m/>
    <s v="Q1"/>
  </r>
  <r>
    <s v="01/01/2023"/>
    <x v="24"/>
    <n v="2023"/>
    <x v="1"/>
    <x v="1"/>
    <n v="17250"/>
    <n v="15803.94"/>
    <n v="1446.07"/>
    <m/>
    <s v="Q1"/>
  </r>
  <r>
    <s v="01/01/2023"/>
    <x v="24"/>
    <n v="2023"/>
    <x v="2"/>
    <x v="2"/>
    <n v="21533.91"/>
    <n v="22273.919999999998"/>
    <n v="-740.01"/>
    <m/>
    <s v="Q1"/>
  </r>
  <r>
    <s v="01/01/2023"/>
    <x v="24"/>
    <n v="2023"/>
    <x v="3"/>
    <x v="2"/>
    <n v="8296.91"/>
    <n v="7021.43"/>
    <n v="1275.48"/>
    <m/>
    <s v="Q1"/>
  </r>
  <r>
    <s v="01/01/2023"/>
    <x v="24"/>
    <n v="2023"/>
    <x v="4"/>
    <x v="3"/>
    <n v="13566.33"/>
    <n v="13302.18"/>
    <n v="264.14999999999998"/>
    <m/>
    <s v="Q1"/>
  </r>
  <r>
    <s v="01/01/2023"/>
    <x v="24"/>
    <n v="2023"/>
    <x v="5"/>
    <x v="0"/>
    <n v="3040.15"/>
    <n v="3261.92"/>
    <n v="-221.77"/>
    <m/>
    <s v="Q1"/>
  </r>
  <r>
    <s v="01/01/2023"/>
    <x v="24"/>
    <n v="2023"/>
    <x v="6"/>
    <x v="4"/>
    <n v="8420.61"/>
    <n v="9039.7099999999991"/>
    <n v="-619.1"/>
    <m/>
    <s v="Q1"/>
  </r>
  <r>
    <s v="01/01/2023"/>
    <x v="24"/>
    <n v="2023"/>
    <x v="7"/>
    <x v="0"/>
    <n v="4250.59"/>
    <n v="4419.47"/>
    <n v="-168.88"/>
    <m/>
    <s v="Q1"/>
  </r>
  <r>
    <s v="01/01/2023"/>
    <x v="24"/>
    <n v="2023"/>
    <x v="8"/>
    <x v="0"/>
    <n v="6889.16"/>
    <n v="6710.05"/>
    <n v="179.11"/>
    <m/>
    <s v="Q1"/>
  </r>
  <r>
    <s v="01/01/2023"/>
    <x v="24"/>
    <n v="2023"/>
    <x v="9"/>
    <x v="2"/>
    <n v="5452.17"/>
    <n v="5684.08"/>
    <n v="-231.92"/>
    <m/>
    <s v="Q1"/>
  </r>
  <r>
    <s v="01/01/2023"/>
    <x v="24"/>
    <n v="2023"/>
    <x v="10"/>
    <x v="0"/>
    <n v="7055.62"/>
    <n v="7655.02"/>
    <n v="-599.4"/>
    <m/>
    <s v="Q1"/>
  </r>
  <r>
    <s v="01/01/2023"/>
    <x v="24"/>
    <n v="2023"/>
    <x v="11"/>
    <x v="3"/>
    <n v="10085.75"/>
    <n v="9790.25"/>
    <n v="295.51"/>
    <m/>
    <s v="Q1"/>
  </r>
  <r>
    <s v="02/01/2023"/>
    <x v="25"/>
    <n v="2023"/>
    <x v="0"/>
    <x v="0"/>
    <n v="83548.429999999993"/>
    <n v="90202.99"/>
    <n v="-6654.57"/>
    <m/>
    <s v="Q1"/>
  </r>
  <r>
    <s v="02/01/2023"/>
    <x v="25"/>
    <n v="2023"/>
    <x v="1"/>
    <x v="1"/>
    <n v="18809.23"/>
    <n v="16968.93"/>
    <n v="1840.3"/>
    <m/>
    <s v="Q1"/>
  </r>
  <r>
    <s v="02/01/2023"/>
    <x v="25"/>
    <n v="2023"/>
    <x v="2"/>
    <x v="2"/>
    <n v="25675.22"/>
    <n v="22323.49"/>
    <n v="3351.73"/>
    <m/>
    <s v="Q1"/>
  </r>
  <r>
    <s v="02/01/2023"/>
    <x v="25"/>
    <n v="2023"/>
    <x v="3"/>
    <x v="2"/>
    <n v="6060.48"/>
    <n v="6730.67"/>
    <n v="-670.19"/>
    <m/>
    <s v="Q1"/>
  </r>
  <r>
    <s v="02/01/2023"/>
    <x v="25"/>
    <n v="2023"/>
    <x v="4"/>
    <x v="3"/>
    <n v="14022.95"/>
    <n v="12524.03"/>
    <n v="1498.92"/>
    <m/>
    <s v="Q1"/>
  </r>
  <r>
    <s v="02/01/2023"/>
    <x v="25"/>
    <n v="2023"/>
    <x v="5"/>
    <x v="0"/>
    <n v="3357.43"/>
    <n v="3372.43"/>
    <n v="-15"/>
    <m/>
    <s v="Q1"/>
  </r>
  <r>
    <s v="02/01/2023"/>
    <x v="25"/>
    <n v="2023"/>
    <x v="6"/>
    <x v="4"/>
    <n v="8093.26"/>
    <n v="8894.08"/>
    <n v="-800.82"/>
    <m/>
    <s v="Q1"/>
  </r>
  <r>
    <s v="02/01/2023"/>
    <x v="25"/>
    <n v="2023"/>
    <x v="7"/>
    <x v="0"/>
    <n v="4782.51"/>
    <n v="4733.57"/>
    <n v="48.93"/>
    <m/>
    <s v="Q1"/>
  </r>
  <r>
    <s v="02/01/2023"/>
    <x v="25"/>
    <n v="2023"/>
    <x v="8"/>
    <x v="0"/>
    <n v="7022.05"/>
    <n v="6636.71"/>
    <n v="385.34"/>
    <m/>
    <s v="Q1"/>
  </r>
  <r>
    <s v="02/01/2023"/>
    <x v="25"/>
    <n v="2023"/>
    <x v="9"/>
    <x v="2"/>
    <n v="5692.2"/>
    <n v="5592.05"/>
    <n v="100.16"/>
    <m/>
    <s v="Q1"/>
  </r>
  <r>
    <s v="02/01/2023"/>
    <x v="25"/>
    <n v="2023"/>
    <x v="10"/>
    <x v="0"/>
    <n v="7818.67"/>
    <n v="7534.49"/>
    <n v="284.18"/>
    <m/>
    <s v="Q1"/>
  </r>
  <r>
    <s v="02/01/2023"/>
    <x v="25"/>
    <n v="2023"/>
    <x v="11"/>
    <x v="3"/>
    <n v="11611.03"/>
    <n v="10482.73"/>
    <n v="1128.29"/>
    <m/>
    <s v="Q1"/>
  </r>
  <r>
    <s v="03/01/2023"/>
    <x v="26"/>
    <n v="2023"/>
    <x v="0"/>
    <x v="0"/>
    <n v="88636.03"/>
    <n v="92415.57"/>
    <n v="-3779.54"/>
    <m/>
    <s v="Q1"/>
  </r>
  <r>
    <s v="03/01/2023"/>
    <x v="26"/>
    <n v="2023"/>
    <x v="1"/>
    <x v="1"/>
    <n v="15885.06"/>
    <n v="16046.53"/>
    <n v="-161.47999999999999"/>
    <m/>
    <s v="Q1"/>
  </r>
  <r>
    <s v="03/01/2023"/>
    <x v="26"/>
    <n v="2023"/>
    <x v="2"/>
    <x v="2"/>
    <n v="24020.240000000002"/>
    <n v="22086.86"/>
    <n v="1933.38"/>
    <m/>
    <s v="Q1"/>
  </r>
  <r>
    <s v="03/01/2023"/>
    <x v="26"/>
    <n v="2023"/>
    <x v="3"/>
    <x v="2"/>
    <n v="5872.89"/>
    <n v="5232.6099999999997"/>
    <n v="640.28"/>
    <m/>
    <s v="Q1"/>
  </r>
  <r>
    <s v="03/01/2023"/>
    <x v="26"/>
    <n v="2023"/>
    <x v="4"/>
    <x v="3"/>
    <n v="12717.62"/>
    <n v="13167.29"/>
    <n v="-449.67"/>
    <m/>
    <s v="Q1"/>
  </r>
  <r>
    <s v="03/01/2023"/>
    <x v="26"/>
    <n v="2023"/>
    <x v="5"/>
    <x v="0"/>
    <n v="2782.49"/>
    <n v="3207.07"/>
    <n v="-424.58"/>
    <m/>
    <s v="Q1"/>
  </r>
  <r>
    <s v="03/01/2023"/>
    <x v="26"/>
    <n v="2023"/>
    <x v="6"/>
    <x v="4"/>
    <n v="9090.82"/>
    <n v="9037.81"/>
    <n v="53.01"/>
    <m/>
    <s v="Q1"/>
  </r>
  <r>
    <s v="03/01/2023"/>
    <x v="26"/>
    <n v="2023"/>
    <x v="7"/>
    <x v="0"/>
    <n v="3800.12"/>
    <n v="4239.34"/>
    <n v="-439.22"/>
    <m/>
    <s v="Q1"/>
  </r>
  <r>
    <s v="03/01/2023"/>
    <x v="26"/>
    <n v="2023"/>
    <x v="8"/>
    <x v="0"/>
    <n v="7422.71"/>
    <n v="6548.36"/>
    <n v="874.35"/>
    <m/>
    <s v="Q1"/>
  </r>
  <r>
    <s v="03/01/2023"/>
    <x v="26"/>
    <n v="2023"/>
    <x v="9"/>
    <x v="2"/>
    <n v="4811.8500000000004"/>
    <n v="5469.57"/>
    <n v="-657.72"/>
    <m/>
    <s v="Q1"/>
  </r>
  <r>
    <s v="03/01/2023"/>
    <x v="26"/>
    <n v="2023"/>
    <x v="10"/>
    <x v="0"/>
    <n v="7493.47"/>
    <n v="7660.6"/>
    <n v="-167.14"/>
    <m/>
    <s v="Q1"/>
  </r>
  <r>
    <s v="03/01/2023"/>
    <x v="26"/>
    <n v="2023"/>
    <x v="11"/>
    <x v="3"/>
    <n v="9080.09"/>
    <n v="9119.7000000000007"/>
    <n v="-39.61"/>
    <m/>
    <s v="Q1"/>
  </r>
  <r>
    <s v="04/01/2023"/>
    <x v="27"/>
    <n v="2023"/>
    <x v="0"/>
    <x v="0"/>
    <n v="92467.35"/>
    <n v="87588.95"/>
    <n v="4878.3999999999996"/>
    <m/>
    <s v="Q2"/>
  </r>
  <r>
    <s v="04/01/2023"/>
    <x v="27"/>
    <n v="2023"/>
    <x v="1"/>
    <x v="1"/>
    <n v="19027.93"/>
    <n v="17454.810000000001"/>
    <n v="1573.12"/>
    <m/>
    <s v="Q2"/>
  </r>
  <r>
    <s v="04/01/2023"/>
    <x v="27"/>
    <n v="2023"/>
    <x v="2"/>
    <x v="2"/>
    <n v="19935.96"/>
    <n v="21872.13"/>
    <n v="-1936.17"/>
    <m/>
    <s v="Q2"/>
  </r>
  <r>
    <s v="04/01/2023"/>
    <x v="27"/>
    <n v="2023"/>
    <x v="3"/>
    <x v="2"/>
    <n v="5966.2"/>
    <n v="5938.07"/>
    <n v="28.13"/>
    <m/>
    <s v="Q2"/>
  </r>
  <r>
    <s v="04/01/2023"/>
    <x v="27"/>
    <n v="2023"/>
    <x v="4"/>
    <x v="3"/>
    <n v="13209.98"/>
    <n v="13235.53"/>
    <n v="-25.54"/>
    <m/>
    <s v="Q2"/>
  </r>
  <r>
    <s v="04/01/2023"/>
    <x v="27"/>
    <n v="2023"/>
    <x v="5"/>
    <x v="0"/>
    <n v="3288.73"/>
    <n v="3327.15"/>
    <n v="-38.42"/>
    <m/>
    <s v="Q2"/>
  </r>
  <r>
    <s v="04/01/2023"/>
    <x v="27"/>
    <n v="2023"/>
    <x v="6"/>
    <x v="4"/>
    <n v="8288.99"/>
    <n v="8668.2099999999991"/>
    <n v="-379.22"/>
    <m/>
    <s v="Q2"/>
  </r>
  <r>
    <s v="04/01/2023"/>
    <x v="27"/>
    <n v="2023"/>
    <x v="7"/>
    <x v="0"/>
    <n v="4214.13"/>
    <n v="4405.67"/>
    <n v="-191.53"/>
    <m/>
    <s v="Q2"/>
  </r>
  <r>
    <s v="04/01/2023"/>
    <x v="27"/>
    <n v="2023"/>
    <x v="8"/>
    <x v="0"/>
    <n v="6528.65"/>
    <n v="6473.54"/>
    <n v="55.12"/>
    <m/>
    <s v="Q2"/>
  </r>
  <r>
    <s v="04/01/2023"/>
    <x v="27"/>
    <n v="2023"/>
    <x v="9"/>
    <x v="2"/>
    <n v="6128.52"/>
    <n v="5470.33"/>
    <n v="658.19"/>
    <m/>
    <s v="Q2"/>
  </r>
  <r>
    <s v="04/01/2023"/>
    <x v="27"/>
    <n v="2023"/>
    <x v="10"/>
    <x v="0"/>
    <n v="7724.04"/>
    <n v="7103.73"/>
    <n v="620.29999999999995"/>
    <m/>
    <s v="Q2"/>
  </r>
  <r>
    <s v="04/01/2023"/>
    <x v="27"/>
    <n v="2023"/>
    <x v="11"/>
    <x v="3"/>
    <n v="8586.0400000000009"/>
    <n v="10293.43"/>
    <n v="-1707.38"/>
    <m/>
    <s v="Q2"/>
  </r>
  <r>
    <s v="05/01/2023"/>
    <x v="28"/>
    <n v="2023"/>
    <x v="0"/>
    <x v="0"/>
    <n v="84699.31"/>
    <n v="87293.25"/>
    <n v="-2593.94"/>
    <m/>
    <s v="Q2"/>
  </r>
  <r>
    <s v="05/01/2023"/>
    <x v="28"/>
    <n v="2023"/>
    <x v="1"/>
    <x v="1"/>
    <n v="14853.6"/>
    <n v="15839.2"/>
    <n v="-985.6"/>
    <m/>
    <s v="Q2"/>
  </r>
  <r>
    <s v="05/01/2023"/>
    <x v="28"/>
    <n v="2023"/>
    <x v="2"/>
    <x v="2"/>
    <n v="24303.38"/>
    <n v="21315.35"/>
    <n v="2988.02"/>
    <m/>
    <s v="Q2"/>
  </r>
  <r>
    <s v="05/01/2023"/>
    <x v="28"/>
    <n v="2023"/>
    <x v="3"/>
    <x v="2"/>
    <n v="6243.73"/>
    <n v="5667.24"/>
    <n v="576.5"/>
    <m/>
    <s v="Q2"/>
  </r>
  <r>
    <s v="05/01/2023"/>
    <x v="28"/>
    <n v="2023"/>
    <x v="4"/>
    <x v="3"/>
    <n v="12295.57"/>
    <n v="13516.43"/>
    <n v="-1220.8599999999999"/>
    <m/>
    <s v="Q2"/>
  </r>
  <r>
    <s v="05/01/2023"/>
    <x v="28"/>
    <n v="2023"/>
    <x v="5"/>
    <x v="0"/>
    <n v="3382.91"/>
    <n v="3255.45"/>
    <n v="127.45"/>
    <m/>
    <s v="Q2"/>
  </r>
  <r>
    <s v="05/01/2023"/>
    <x v="28"/>
    <n v="2023"/>
    <x v="6"/>
    <x v="4"/>
    <n v="8981.27"/>
    <n v="8496.6200000000008"/>
    <n v="484.65"/>
    <m/>
    <s v="Q2"/>
  </r>
  <r>
    <s v="05/01/2023"/>
    <x v="28"/>
    <n v="2023"/>
    <x v="7"/>
    <x v="0"/>
    <n v="4246.92"/>
    <n v="4378.2"/>
    <n v="-131.28"/>
    <m/>
    <s v="Q2"/>
  </r>
  <r>
    <s v="05/01/2023"/>
    <x v="28"/>
    <n v="2023"/>
    <x v="8"/>
    <x v="0"/>
    <n v="6996.21"/>
    <n v="6756.09"/>
    <n v="240.12"/>
    <m/>
    <s v="Q2"/>
  </r>
  <r>
    <s v="05/01/2023"/>
    <x v="28"/>
    <n v="2023"/>
    <x v="9"/>
    <x v="2"/>
    <n v="5958.53"/>
    <n v="5452.81"/>
    <n v="505.73"/>
    <m/>
    <s v="Q2"/>
  </r>
  <r>
    <s v="05/01/2023"/>
    <x v="28"/>
    <n v="2023"/>
    <x v="10"/>
    <x v="0"/>
    <n v="7835.15"/>
    <n v="7467.21"/>
    <n v="367.95"/>
    <m/>
    <s v="Q2"/>
  </r>
  <r>
    <s v="05/01/2023"/>
    <x v="28"/>
    <n v="2023"/>
    <x v="11"/>
    <x v="3"/>
    <n v="9848.9599999999991"/>
    <n v="10099.049999999999"/>
    <n v="-250.09"/>
    <m/>
    <s v="Q2"/>
  </r>
  <r>
    <s v="06/01/2023"/>
    <x v="29"/>
    <n v="2023"/>
    <x v="0"/>
    <x v="0"/>
    <n v="80148.72"/>
    <n v="89062.95"/>
    <n v="-8914.23"/>
    <m/>
    <s v="Q2"/>
  </r>
  <r>
    <s v="06/01/2023"/>
    <x v="29"/>
    <n v="2023"/>
    <x v="1"/>
    <x v="1"/>
    <n v="16744.53"/>
    <n v="16995.93"/>
    <n v="-251.41"/>
    <m/>
    <s v="Q2"/>
  </r>
  <r>
    <s v="06/01/2023"/>
    <x v="29"/>
    <n v="2023"/>
    <x v="2"/>
    <x v="2"/>
    <n v="23525.65"/>
    <n v="21704.22"/>
    <n v="1821.43"/>
    <m/>
    <s v="Q2"/>
  </r>
  <r>
    <s v="06/01/2023"/>
    <x v="29"/>
    <n v="2023"/>
    <x v="3"/>
    <x v="2"/>
    <n v="4788.01"/>
    <n v="5396.02"/>
    <n v="-608.01"/>
    <m/>
    <s v="Q2"/>
  </r>
  <r>
    <s v="06/01/2023"/>
    <x v="29"/>
    <n v="2023"/>
    <x v="4"/>
    <x v="3"/>
    <n v="13223.62"/>
    <n v="12612.17"/>
    <n v="611.45000000000005"/>
    <m/>
    <s v="Q2"/>
  </r>
  <r>
    <s v="06/01/2023"/>
    <x v="29"/>
    <n v="2023"/>
    <x v="5"/>
    <x v="0"/>
    <n v="3626.93"/>
    <n v="3180.45"/>
    <n v="446.48"/>
    <m/>
    <s v="Q2"/>
  </r>
  <r>
    <s v="06/01/2023"/>
    <x v="29"/>
    <n v="2023"/>
    <x v="6"/>
    <x v="4"/>
    <n v="13147.93"/>
    <n v="11576.77"/>
    <n v="1571.16"/>
    <m/>
    <s v="Q2"/>
  </r>
  <r>
    <s v="06/01/2023"/>
    <x v="29"/>
    <n v="2023"/>
    <x v="7"/>
    <x v="0"/>
    <n v="4403.58"/>
    <n v="4437.92"/>
    <n v="-34.340000000000003"/>
    <m/>
    <s v="Q2"/>
  </r>
  <r>
    <s v="06/01/2023"/>
    <x v="29"/>
    <n v="2023"/>
    <x v="8"/>
    <x v="0"/>
    <n v="6714.63"/>
    <n v="6506.86"/>
    <n v="207.77"/>
    <m/>
    <s v="Q2"/>
  </r>
  <r>
    <s v="06/01/2023"/>
    <x v="29"/>
    <n v="2023"/>
    <x v="9"/>
    <x v="2"/>
    <n v="5992.28"/>
    <n v="5506.28"/>
    <n v="486.01"/>
    <m/>
    <s v="Q2"/>
  </r>
  <r>
    <s v="06/01/2023"/>
    <x v="29"/>
    <n v="2023"/>
    <x v="10"/>
    <x v="0"/>
    <n v="7837.06"/>
    <n v="7743.95"/>
    <n v="93.11"/>
    <m/>
    <s v="Q2"/>
  </r>
  <r>
    <s v="06/01/2023"/>
    <x v="29"/>
    <n v="2023"/>
    <x v="11"/>
    <x v="3"/>
    <n v="9769.5499999999993"/>
    <n v="9814.26"/>
    <n v="-44.71"/>
    <m/>
    <s v="Q2"/>
  </r>
  <r>
    <s v="07/01/2023"/>
    <x v="30"/>
    <n v="2023"/>
    <x v="0"/>
    <x v="0"/>
    <n v="83183.25"/>
    <n v="89014.44"/>
    <n v="-5831.2"/>
    <m/>
    <s v="Q3"/>
  </r>
  <r>
    <s v="07/01/2023"/>
    <x v="30"/>
    <n v="2023"/>
    <x v="1"/>
    <x v="1"/>
    <n v="16775.73"/>
    <n v="15868.63"/>
    <n v="907.1"/>
    <m/>
    <s v="Q3"/>
  </r>
  <r>
    <s v="07/01/2023"/>
    <x v="30"/>
    <n v="2023"/>
    <x v="2"/>
    <x v="2"/>
    <n v="22402.41"/>
    <n v="22163.03"/>
    <n v="239.38"/>
    <m/>
    <s v="Q3"/>
  </r>
  <r>
    <s v="07/01/2023"/>
    <x v="30"/>
    <n v="2023"/>
    <x v="3"/>
    <x v="2"/>
    <n v="5721.71"/>
    <n v="5515.55"/>
    <n v="206.17"/>
    <m/>
    <s v="Q3"/>
  </r>
  <r>
    <s v="07/01/2023"/>
    <x v="30"/>
    <n v="2023"/>
    <x v="4"/>
    <x v="3"/>
    <n v="12769.57"/>
    <n v="13015.77"/>
    <n v="-246.2"/>
    <m/>
    <s v="Q3"/>
  </r>
  <r>
    <s v="07/01/2023"/>
    <x v="30"/>
    <n v="2023"/>
    <x v="5"/>
    <x v="0"/>
    <n v="3230.72"/>
    <n v="3326.93"/>
    <n v="-96.21"/>
    <m/>
    <s v="Q3"/>
  </r>
  <r>
    <s v="07/01/2023"/>
    <x v="30"/>
    <n v="2023"/>
    <x v="6"/>
    <x v="4"/>
    <n v="11685.17"/>
    <n v="12499.23"/>
    <n v="-814.06"/>
    <m/>
    <s v="Q3"/>
  </r>
  <r>
    <s v="07/01/2023"/>
    <x v="30"/>
    <n v="2023"/>
    <x v="7"/>
    <x v="0"/>
    <n v="4744.51"/>
    <n v="4546.16"/>
    <n v="198.35"/>
    <m/>
    <s v="Q3"/>
  </r>
  <r>
    <s v="07/01/2023"/>
    <x v="30"/>
    <n v="2023"/>
    <x v="8"/>
    <x v="0"/>
    <n v="7126.65"/>
    <n v="6665.81"/>
    <n v="460.84"/>
    <m/>
    <s v="Q3"/>
  </r>
  <r>
    <s v="07/01/2023"/>
    <x v="30"/>
    <n v="2023"/>
    <x v="9"/>
    <x v="2"/>
    <n v="6197.24"/>
    <n v="5787.93"/>
    <n v="409.31"/>
    <m/>
    <s v="Q3"/>
  </r>
  <r>
    <s v="07/01/2023"/>
    <x v="30"/>
    <n v="2023"/>
    <x v="10"/>
    <x v="0"/>
    <n v="6970.63"/>
    <n v="7291.29"/>
    <n v="-320.66000000000003"/>
    <m/>
    <s v="Q3"/>
  </r>
  <r>
    <s v="07/01/2023"/>
    <x v="30"/>
    <n v="2023"/>
    <x v="11"/>
    <x v="3"/>
    <n v="9943.94"/>
    <n v="9736.51"/>
    <n v="207.43"/>
    <m/>
    <s v="Q3"/>
  </r>
  <r>
    <s v="08/01/2023"/>
    <x v="31"/>
    <n v="2023"/>
    <x v="0"/>
    <x v="0"/>
    <n v="88110.89"/>
    <n v="89569.73"/>
    <n v="-1458.84"/>
    <m/>
    <s v="Q3"/>
  </r>
  <r>
    <s v="08/01/2023"/>
    <x v="31"/>
    <n v="2023"/>
    <x v="1"/>
    <x v="1"/>
    <n v="16334.66"/>
    <n v="16630.16"/>
    <n v="-295.5"/>
    <m/>
    <s v="Q3"/>
  </r>
  <r>
    <s v="08/01/2023"/>
    <x v="31"/>
    <n v="2023"/>
    <x v="2"/>
    <x v="2"/>
    <n v="20556"/>
    <n v="21645.48"/>
    <n v="-1089.48"/>
    <m/>
    <s v="Q3"/>
  </r>
  <r>
    <s v="08/01/2023"/>
    <x v="31"/>
    <n v="2023"/>
    <x v="3"/>
    <x v="2"/>
    <n v="5104.78"/>
    <n v="5359.82"/>
    <n v="-255.04"/>
    <m/>
    <s v="Q3"/>
  </r>
  <r>
    <s v="08/01/2023"/>
    <x v="31"/>
    <n v="2023"/>
    <x v="4"/>
    <x v="3"/>
    <n v="13776.11"/>
    <n v="12842.68"/>
    <n v="933.43"/>
    <m/>
    <s v="Q3"/>
  </r>
  <r>
    <s v="08/01/2023"/>
    <x v="31"/>
    <n v="2023"/>
    <x v="5"/>
    <x v="0"/>
    <n v="3700.49"/>
    <n v="3213.3"/>
    <n v="487.2"/>
    <m/>
    <s v="Q3"/>
  </r>
  <r>
    <s v="08/01/2023"/>
    <x v="31"/>
    <n v="2023"/>
    <x v="6"/>
    <x v="4"/>
    <n v="12897.17"/>
    <n v="12530.74"/>
    <n v="366.42"/>
    <m/>
    <s v="Q3"/>
  </r>
  <r>
    <s v="08/01/2023"/>
    <x v="31"/>
    <n v="2023"/>
    <x v="7"/>
    <x v="0"/>
    <n v="4532.8100000000004"/>
    <n v="4296.4399999999996"/>
    <n v="236.37"/>
    <m/>
    <s v="Q3"/>
  </r>
  <r>
    <s v="08/01/2023"/>
    <x v="31"/>
    <n v="2023"/>
    <x v="8"/>
    <x v="0"/>
    <n v="6670.44"/>
    <n v="6500.76"/>
    <n v="169.67"/>
    <m/>
    <s v="Q3"/>
  </r>
  <r>
    <s v="08/01/2023"/>
    <x v="31"/>
    <n v="2023"/>
    <x v="9"/>
    <x v="2"/>
    <n v="6026.08"/>
    <n v="5935.87"/>
    <n v="90.21"/>
    <m/>
    <s v="Q3"/>
  </r>
  <r>
    <s v="08/01/2023"/>
    <x v="31"/>
    <n v="2023"/>
    <x v="10"/>
    <x v="0"/>
    <n v="7862.56"/>
    <n v="7983.59"/>
    <n v="-121.02"/>
    <m/>
    <s v="Q3"/>
  </r>
  <r>
    <s v="08/01/2023"/>
    <x v="31"/>
    <n v="2023"/>
    <x v="11"/>
    <x v="3"/>
    <n v="10987.94"/>
    <n v="9912.08"/>
    <n v="1075.8599999999999"/>
    <m/>
    <s v="Q3"/>
  </r>
  <r>
    <s v="09/01/2023"/>
    <x v="32"/>
    <n v="2023"/>
    <x v="0"/>
    <x v="0"/>
    <n v="96114.43"/>
    <n v="86541.05"/>
    <n v="9573.3799999999992"/>
    <m/>
    <s v="Q3"/>
  </r>
  <r>
    <s v="09/01/2023"/>
    <x v="32"/>
    <n v="2023"/>
    <x v="1"/>
    <x v="1"/>
    <n v="16751.439999999999"/>
    <n v="16888.63"/>
    <n v="-137.19"/>
    <m/>
    <s v="Q3"/>
  </r>
  <r>
    <s v="09/01/2023"/>
    <x v="32"/>
    <n v="2023"/>
    <x v="2"/>
    <x v="2"/>
    <n v="24010.29"/>
    <n v="22468.34"/>
    <n v="1541.95"/>
    <m/>
    <s v="Q3"/>
  </r>
  <r>
    <s v="09/01/2023"/>
    <x v="32"/>
    <n v="2023"/>
    <x v="3"/>
    <x v="2"/>
    <n v="5286.77"/>
    <n v="5615.33"/>
    <n v="-328.56"/>
    <m/>
    <s v="Q3"/>
  </r>
  <r>
    <s v="09/01/2023"/>
    <x v="32"/>
    <n v="2023"/>
    <x v="4"/>
    <x v="3"/>
    <n v="13040.07"/>
    <n v="12941.4"/>
    <n v="98.67"/>
    <m/>
    <s v="Q3"/>
  </r>
  <r>
    <s v="09/01/2023"/>
    <x v="32"/>
    <n v="2023"/>
    <x v="5"/>
    <x v="0"/>
    <n v="3468.53"/>
    <n v="3300.11"/>
    <n v="168.42"/>
    <m/>
    <s v="Q3"/>
  </r>
  <r>
    <s v="09/01/2023"/>
    <x v="32"/>
    <n v="2023"/>
    <x v="6"/>
    <x v="4"/>
    <n v="8452.33"/>
    <n v="8867.02"/>
    <n v="-414.69"/>
    <m/>
    <s v="Q3"/>
  </r>
  <r>
    <s v="09/01/2023"/>
    <x v="32"/>
    <n v="2023"/>
    <x v="7"/>
    <x v="0"/>
    <n v="4685.68"/>
    <n v="4460.3"/>
    <n v="225.38"/>
    <m/>
    <s v="Q3"/>
  </r>
  <r>
    <s v="09/01/2023"/>
    <x v="32"/>
    <n v="2023"/>
    <x v="8"/>
    <x v="0"/>
    <n v="7224.08"/>
    <n v="6726.09"/>
    <n v="497.99"/>
    <m/>
    <s v="Q3"/>
  </r>
  <r>
    <s v="09/01/2023"/>
    <x v="32"/>
    <n v="2023"/>
    <x v="9"/>
    <x v="2"/>
    <n v="5893.15"/>
    <n v="5650.41"/>
    <n v="242.74"/>
    <m/>
    <s v="Q3"/>
  </r>
  <r>
    <s v="09/01/2023"/>
    <x v="32"/>
    <n v="2023"/>
    <x v="10"/>
    <x v="0"/>
    <n v="7215.71"/>
    <n v="7701.25"/>
    <n v="-485.55"/>
    <m/>
    <s v="Q3"/>
  </r>
  <r>
    <s v="09/01/2023"/>
    <x v="32"/>
    <n v="2023"/>
    <x v="11"/>
    <x v="3"/>
    <n v="10355.76"/>
    <n v="10050.39"/>
    <n v="305.37"/>
    <m/>
    <s v="Q3"/>
  </r>
  <r>
    <s v="10/01/2023"/>
    <x v="33"/>
    <n v="2023"/>
    <x v="0"/>
    <x v="0"/>
    <n v="85020.63"/>
    <n v="88918.6"/>
    <n v="-3897.96"/>
    <m/>
    <s v="Q4"/>
  </r>
  <r>
    <s v="10/01/2023"/>
    <x v="33"/>
    <n v="2023"/>
    <x v="1"/>
    <x v="1"/>
    <n v="22312.9"/>
    <n v="20801.509999999998"/>
    <n v="1511.39"/>
    <m/>
    <s v="Q4"/>
  </r>
  <r>
    <s v="10/01/2023"/>
    <x v="33"/>
    <n v="2023"/>
    <x v="2"/>
    <x v="2"/>
    <n v="23214.77"/>
    <n v="22023.83"/>
    <n v="1190.94"/>
    <m/>
    <s v="Q4"/>
  </r>
  <r>
    <s v="10/01/2023"/>
    <x v="33"/>
    <n v="2023"/>
    <x v="3"/>
    <x v="2"/>
    <n v="5635.74"/>
    <n v="5517.18"/>
    <n v="118.55"/>
    <m/>
    <s v="Q4"/>
  </r>
  <r>
    <s v="10/01/2023"/>
    <x v="33"/>
    <n v="2023"/>
    <x v="4"/>
    <x v="3"/>
    <n v="13523.48"/>
    <n v="13602.4"/>
    <n v="-78.92"/>
    <m/>
    <s v="Q4"/>
  </r>
  <r>
    <s v="10/01/2023"/>
    <x v="33"/>
    <n v="2023"/>
    <x v="5"/>
    <x v="0"/>
    <n v="3306.71"/>
    <n v="3317.04"/>
    <n v="-10.33"/>
    <m/>
    <s v="Q4"/>
  </r>
  <r>
    <s v="10/01/2023"/>
    <x v="33"/>
    <n v="2023"/>
    <x v="6"/>
    <x v="4"/>
    <n v="8744.57"/>
    <n v="8705.0300000000007"/>
    <n v="39.53"/>
    <m/>
    <s v="Q4"/>
  </r>
  <r>
    <s v="10/01/2023"/>
    <x v="33"/>
    <n v="2023"/>
    <x v="7"/>
    <x v="0"/>
    <n v="4421.91"/>
    <n v="4439.3900000000003"/>
    <n v="-17.48"/>
    <m/>
    <s v="Q4"/>
  </r>
  <r>
    <s v="10/01/2023"/>
    <x v="33"/>
    <n v="2023"/>
    <x v="8"/>
    <x v="0"/>
    <n v="6694.45"/>
    <n v="6864.2"/>
    <n v="-169.75"/>
    <m/>
    <s v="Q4"/>
  </r>
  <r>
    <s v="10/01/2023"/>
    <x v="33"/>
    <n v="2023"/>
    <x v="9"/>
    <x v="2"/>
    <n v="5470.71"/>
    <n v="5481.6"/>
    <n v="-10.89"/>
    <m/>
    <s v="Q4"/>
  </r>
  <r>
    <s v="10/01/2023"/>
    <x v="33"/>
    <n v="2023"/>
    <x v="10"/>
    <x v="0"/>
    <n v="8292.7000000000007"/>
    <n v="8052.51"/>
    <n v="240.19"/>
    <m/>
    <s v="Q4"/>
  </r>
  <r>
    <s v="10/01/2023"/>
    <x v="33"/>
    <n v="2023"/>
    <x v="11"/>
    <x v="3"/>
    <n v="9674.41"/>
    <n v="10229.65"/>
    <n v="-555.25"/>
    <m/>
    <s v="Q4"/>
  </r>
  <r>
    <s v="11/01/2023"/>
    <x v="34"/>
    <n v="2023"/>
    <x v="0"/>
    <x v="0"/>
    <n v="94639.45"/>
    <n v="88906.62"/>
    <n v="5732.84"/>
    <m/>
    <s v="Q4"/>
  </r>
  <r>
    <s v="11/01/2023"/>
    <x v="34"/>
    <n v="2023"/>
    <x v="1"/>
    <x v="1"/>
    <n v="23131.01"/>
    <n v="21551.82"/>
    <n v="1579.19"/>
    <m/>
    <s v="Q4"/>
  </r>
  <r>
    <s v="11/01/2023"/>
    <x v="34"/>
    <n v="2023"/>
    <x v="2"/>
    <x v="2"/>
    <n v="23671.66"/>
    <n v="21707.81"/>
    <n v="1963.85"/>
    <m/>
    <s v="Q4"/>
  </r>
  <r>
    <s v="11/01/2023"/>
    <x v="34"/>
    <n v="2023"/>
    <x v="3"/>
    <x v="2"/>
    <n v="5903.63"/>
    <n v="5892.68"/>
    <n v="10.95"/>
    <m/>
    <s v="Q4"/>
  </r>
  <r>
    <s v="11/01/2023"/>
    <x v="34"/>
    <n v="2023"/>
    <x v="4"/>
    <x v="3"/>
    <n v="14262.81"/>
    <n v="13053.18"/>
    <n v="1209.6300000000001"/>
    <m/>
    <s v="Q4"/>
  </r>
  <r>
    <s v="11/01/2023"/>
    <x v="34"/>
    <n v="2023"/>
    <x v="5"/>
    <x v="0"/>
    <n v="3442.95"/>
    <n v="3464.23"/>
    <n v="-21.28"/>
    <m/>
    <s v="Q4"/>
  </r>
  <r>
    <s v="11/01/2023"/>
    <x v="34"/>
    <n v="2023"/>
    <x v="6"/>
    <x v="4"/>
    <n v="8760.2900000000009"/>
    <n v="8708.82"/>
    <n v="51.48"/>
    <m/>
    <s v="Q4"/>
  </r>
  <r>
    <s v="11/01/2023"/>
    <x v="34"/>
    <n v="2023"/>
    <x v="7"/>
    <x v="0"/>
    <n v="4122.38"/>
    <n v="4232.13"/>
    <n v="-109.75"/>
    <m/>
    <s v="Q4"/>
  </r>
  <r>
    <s v="11/01/2023"/>
    <x v="34"/>
    <n v="2023"/>
    <x v="8"/>
    <x v="0"/>
    <n v="6297.74"/>
    <n v="6415.73"/>
    <n v="-117.98"/>
    <m/>
    <s v="Q4"/>
  </r>
  <r>
    <s v="11/01/2023"/>
    <x v="34"/>
    <n v="2023"/>
    <x v="9"/>
    <x v="2"/>
    <n v="5681.39"/>
    <n v="5506.76"/>
    <n v="174.62"/>
    <m/>
    <s v="Q4"/>
  </r>
  <r>
    <s v="11/01/2023"/>
    <x v="34"/>
    <n v="2023"/>
    <x v="10"/>
    <x v="0"/>
    <n v="7834.85"/>
    <n v="8076.48"/>
    <n v="-241.63"/>
    <m/>
    <s v="Q4"/>
  </r>
  <r>
    <s v="11/01/2023"/>
    <x v="34"/>
    <n v="2023"/>
    <x v="11"/>
    <x v="3"/>
    <n v="10310.52"/>
    <n v="10215.51"/>
    <n v="95.01"/>
    <m/>
    <s v="Q4"/>
  </r>
  <r>
    <s v="12/01/2023"/>
    <x v="35"/>
    <n v="2023"/>
    <x v="0"/>
    <x v="0"/>
    <n v="92802.04"/>
    <n v="88069.119999999995"/>
    <n v="4732.92"/>
    <m/>
    <s v="Q4"/>
  </r>
  <r>
    <s v="12/01/2023"/>
    <x v="35"/>
    <n v="2023"/>
    <x v="1"/>
    <x v="1"/>
    <n v="21587.35"/>
    <n v="20774.64"/>
    <n v="812.71"/>
    <m/>
    <s v="Q4"/>
  </r>
  <r>
    <s v="12/01/2023"/>
    <x v="35"/>
    <n v="2023"/>
    <x v="2"/>
    <x v="2"/>
    <n v="23148.95"/>
    <n v="22160.11"/>
    <n v="988.84"/>
    <m/>
    <s v="Q4"/>
  </r>
  <r>
    <s v="12/01/2023"/>
    <x v="35"/>
    <n v="2023"/>
    <x v="3"/>
    <x v="2"/>
    <n v="7942.68"/>
    <n v="6950.4"/>
    <n v="992.27"/>
    <m/>
    <s v="Q4"/>
  </r>
  <r>
    <s v="12/01/2023"/>
    <x v="35"/>
    <n v="2023"/>
    <x v="4"/>
    <x v="3"/>
    <n v="12891.88"/>
    <n v="12976.88"/>
    <n v="-85"/>
    <m/>
    <s v="Q4"/>
  </r>
  <r>
    <s v="12/01/2023"/>
    <x v="35"/>
    <n v="2023"/>
    <x v="5"/>
    <x v="0"/>
    <n v="3220.44"/>
    <n v="3245.67"/>
    <n v="-25.23"/>
    <m/>
    <s v="Q4"/>
  </r>
  <r>
    <s v="12/01/2023"/>
    <x v="35"/>
    <n v="2023"/>
    <x v="6"/>
    <x v="4"/>
    <n v="9338.7000000000007"/>
    <n v="8651.35"/>
    <n v="687.36"/>
    <m/>
    <s v="Q4"/>
  </r>
  <r>
    <s v="12/01/2023"/>
    <x v="35"/>
    <n v="2023"/>
    <x v="7"/>
    <x v="0"/>
    <n v="4558.68"/>
    <n v="4597.93"/>
    <n v="-39.25"/>
    <m/>
    <s v="Q4"/>
  </r>
  <r>
    <s v="12/01/2023"/>
    <x v="35"/>
    <n v="2023"/>
    <x v="8"/>
    <x v="0"/>
    <n v="6730.84"/>
    <n v="6449.82"/>
    <n v="281.02"/>
    <m/>
    <s v="Q4"/>
  </r>
  <r>
    <s v="12/01/2023"/>
    <x v="35"/>
    <n v="2023"/>
    <x v="9"/>
    <x v="2"/>
    <n v="5701.16"/>
    <n v="5421.18"/>
    <n v="279.99"/>
    <m/>
    <s v="Q4"/>
  </r>
  <r>
    <s v="12/01/2023"/>
    <x v="35"/>
    <n v="2023"/>
    <x v="10"/>
    <x v="0"/>
    <n v="7331.32"/>
    <n v="7764.48"/>
    <n v="-433.16"/>
    <m/>
    <s v="Q4"/>
  </r>
  <r>
    <s v="12/01/2023"/>
    <x v="35"/>
    <n v="2023"/>
    <x v="11"/>
    <x v="3"/>
    <n v="11523.16"/>
    <n v="10383.15"/>
    <n v="1140.01"/>
    <m/>
    <s v="Q4"/>
  </r>
  <r>
    <m/>
    <x v="36"/>
    <m/>
    <x v="12"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9F5F7-ECF2-4053-9BAB-CDC8D8B774DD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04:E118" firstHeaderRow="1" firstDataRow="1" firstDataCol="1"/>
  <pivotFields count="10">
    <pivotField showAll="0"/>
    <pivotField showAll="0"/>
    <pivotField showAll="0"/>
    <pivotField axis="axisRow" showAll="0">
      <items count="14">
        <item x="11"/>
        <item x="8"/>
        <item x="9"/>
        <item x="1"/>
        <item x="5"/>
        <item x="10"/>
        <item x="2"/>
        <item x="0"/>
        <item x="4"/>
        <item x="7"/>
        <item x="6"/>
        <item x="3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ctual" fld="5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8ACBA-CCD0-44A7-9948-0BE3864E1C19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80:F87" firstHeaderRow="0" firstDataRow="1" firstDataCol="1"/>
  <pivotFields count="10">
    <pivotField showAll="0"/>
    <pivotField showAll="0"/>
    <pivotField showAll="0"/>
    <pivotField showAll="0"/>
    <pivotField axis="axisRow" showAll="0">
      <items count="7">
        <item x="0"/>
        <item x="3"/>
        <item x="1"/>
        <item x="2"/>
        <item x="4"/>
        <item x="5"/>
        <item t="default"/>
      </items>
    </pivotField>
    <pivotField dataField="1" showAll="0"/>
    <pivotField dataField="1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" fld="5" baseField="0" baseItem="0"/>
    <dataField name="Sum of Budge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C5139-1C0C-4D3B-8A37-42C069E2EB8B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0:F69" firstHeaderRow="1" firstDataRow="1" firstDataCol="1"/>
  <pivotFields count="10">
    <pivotField showAll="0"/>
    <pivotField showAll="0"/>
    <pivotField showAll="0"/>
    <pivotField axis="axisRow" showAll="0">
      <items count="14">
        <item x="11"/>
        <item x="8"/>
        <item x="9"/>
        <item x="1"/>
        <item x="5"/>
        <item x="10"/>
        <item x="2"/>
        <item x="0"/>
        <item x="4"/>
        <item x="7"/>
        <item x="6"/>
        <item x="3"/>
        <item x="12"/>
        <item t="default"/>
      </items>
    </pivotField>
    <pivotField axis="axisRow" showAll="0">
      <items count="7">
        <item x="0"/>
        <item x="3"/>
        <item x="1"/>
        <item x="2"/>
        <item x="4"/>
        <item sd="0" x="5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4"/>
    <field x="3"/>
  </rowFields>
  <rowItems count="19">
    <i>
      <x/>
    </i>
    <i r="1">
      <x v="1"/>
    </i>
    <i r="1">
      <x v="4"/>
    </i>
    <i r="1">
      <x v="5"/>
    </i>
    <i r="1">
      <x v="7"/>
    </i>
    <i r="1">
      <x v="9"/>
    </i>
    <i>
      <x v="1"/>
    </i>
    <i r="1">
      <x/>
    </i>
    <i r="1">
      <x v="8"/>
    </i>
    <i>
      <x v="2"/>
    </i>
    <i r="1">
      <x v="3"/>
    </i>
    <i>
      <x v="3"/>
    </i>
    <i r="1">
      <x v="2"/>
    </i>
    <i r="1">
      <x v="6"/>
    </i>
    <i r="1">
      <x v="11"/>
    </i>
    <i>
      <x v="4"/>
    </i>
    <i r="1">
      <x v="10"/>
    </i>
    <i>
      <x v="5"/>
    </i>
    <i t="grand">
      <x/>
    </i>
  </rowItems>
  <colItems count="1">
    <i/>
  </colItems>
  <dataFields count="1">
    <dataField name="Sum of Varian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7A405-78E4-4928-B2BC-BB48FA9BB76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5:D38" firstHeaderRow="0" firstDataRow="1" firstDataCol="1"/>
  <pivotFields count="10">
    <pivotField showAll="0"/>
    <pivotField axis="axisRow" showAll="0">
      <items count="38">
        <item h="1" x="3"/>
        <item x="15"/>
        <item h="1" x="27"/>
        <item h="1" x="7"/>
        <item x="19"/>
        <item h="1" x="31"/>
        <item h="1" x="11"/>
        <item x="23"/>
        <item h="1" x="35"/>
        <item h="1" x="1"/>
        <item x="13"/>
        <item h="1" x="25"/>
        <item h="1" x="0"/>
        <item x="12"/>
        <item h="1" x="24"/>
        <item h="1" x="6"/>
        <item x="18"/>
        <item h="1" x="30"/>
        <item h="1" x="5"/>
        <item x="17"/>
        <item h="1" x="29"/>
        <item h="1" x="2"/>
        <item x="14"/>
        <item h="1" x="26"/>
        <item h="1" x="4"/>
        <item x="16"/>
        <item h="1" x="28"/>
        <item h="1" x="10"/>
        <item x="22"/>
        <item h="1" x="34"/>
        <item h="1" x="9"/>
        <item x="21"/>
        <item h="1" x="33"/>
        <item h="1" x="8"/>
        <item x="20"/>
        <item h="1" x="32"/>
        <item h="1" x="36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3">
    <i>
      <x v="1"/>
    </i>
    <i>
      <x v="4"/>
    </i>
    <i>
      <x v="7"/>
    </i>
    <i>
      <x v="10"/>
    </i>
    <i>
      <x v="13"/>
    </i>
    <i>
      <x v="16"/>
    </i>
    <i>
      <x v="19"/>
    </i>
    <i>
      <x v="22"/>
    </i>
    <i>
      <x v="25"/>
    </i>
    <i>
      <x v="28"/>
    </i>
    <i>
      <x v="31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" fld="5" baseField="0" baseItem="0"/>
    <dataField name="Sum of Budget" fld="6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12309-7B1F-4D62-B2E5-0DD38803D9E8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B7:D19" firstHeaderRow="0" firstDataRow="1" firstDataCol="1"/>
  <pivotFields count="10">
    <pivotField showAll="0"/>
    <pivotField axis="axisRow" showAll="0" sortType="ascending">
      <items count="38">
        <item x="3"/>
        <item h="1" x="15"/>
        <item h="1" x="27"/>
        <item x="7"/>
        <item h="1" x="19"/>
        <item h="1" x="31"/>
        <item x="11"/>
        <item h="1" x="23"/>
        <item h="1" x="35"/>
        <item x="1"/>
        <item h="1" x="13"/>
        <item h="1" x="25"/>
        <item x="0"/>
        <item h="1" x="12"/>
        <item h="1" x="24"/>
        <item x="6"/>
        <item h="1" x="18"/>
        <item h="1" x="30"/>
        <item x="5"/>
        <item h="1" x="17"/>
        <item h="1" x="29"/>
        <item x="2"/>
        <item h="1" x="14"/>
        <item h="1" x="26"/>
        <item x="4"/>
        <item h="1" x="16"/>
        <item h="1" x="28"/>
        <item x="10"/>
        <item h="1" x="22"/>
        <item h="1" x="34"/>
        <item x="9"/>
        <item h="1" x="21"/>
        <item h="1" x="33"/>
        <item x="8"/>
        <item h="1" x="20"/>
        <item h="1" x="32"/>
        <item h="1" x="36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3"/>
    </i>
    <i>
      <x v="6"/>
    </i>
    <i>
      <x v="9"/>
    </i>
    <i>
      <x v="12"/>
    </i>
    <i>
      <x v="15"/>
    </i>
    <i>
      <x v="18"/>
    </i>
    <i>
      <x v="21"/>
    </i>
    <i>
      <x v="24"/>
    </i>
    <i>
      <x v="27"/>
    </i>
    <i>
      <x v="30"/>
    </i>
    <i>
      <x v="33"/>
    </i>
  </rowItems>
  <colFields count="1">
    <field x="-2"/>
  </colFields>
  <colItems count="2">
    <i>
      <x/>
    </i>
    <i i="1">
      <x v="1"/>
    </i>
  </colItems>
  <dataFields count="2">
    <dataField name="Sum of Actual" fld="5" baseField="0" baseItem="0"/>
    <dataField name="Sum of Budget" fld="6" baseField="0" baseItem="3"/>
  </dataField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33"/>
  <sheetViews>
    <sheetView workbookViewId="0">
      <selection activeCell="N122" sqref="N122"/>
    </sheetView>
  </sheetViews>
  <sheetFormatPr defaultRowHeight="14.5" x14ac:dyDescent="0.35"/>
  <cols>
    <col min="1" max="1" width="10.453125" bestFit="1" customWidth="1"/>
    <col min="2" max="2" width="7.08984375" bestFit="1" customWidth="1"/>
    <col min="3" max="3" width="4.81640625" bestFit="1" customWidth="1"/>
    <col min="4" max="4" width="20" bestFit="1" customWidth="1"/>
    <col min="5" max="5" width="13.26953125" bestFit="1" customWidth="1"/>
    <col min="6" max="7" width="8.81640625" bestFit="1" customWidth="1"/>
    <col min="8" max="8" width="9.453125" bestFit="1" customWidth="1"/>
    <col min="9" max="9" width="5.6328125" bestFit="1" customWidth="1"/>
    <col min="10" max="10" width="7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2021</v>
      </c>
      <c r="D2" t="s">
        <v>12</v>
      </c>
      <c r="E2" t="s">
        <v>13</v>
      </c>
      <c r="F2">
        <v>80294.039999999994</v>
      </c>
      <c r="G2">
        <v>81192.11</v>
      </c>
      <c r="H2">
        <v>-898.08</v>
      </c>
      <c r="J2" t="s">
        <v>14</v>
      </c>
    </row>
    <row r="3" spans="1:10" hidden="1" x14ac:dyDescent="0.35">
      <c r="A3" t="s">
        <v>10</v>
      </c>
      <c r="B3" t="s">
        <v>11</v>
      </c>
      <c r="C3">
        <v>2021</v>
      </c>
      <c r="D3" t="s">
        <v>15</v>
      </c>
      <c r="E3" t="s">
        <v>15</v>
      </c>
      <c r="F3">
        <v>17154.61</v>
      </c>
      <c r="G3">
        <v>15291.46</v>
      </c>
      <c r="H3">
        <v>1863.15</v>
      </c>
      <c r="J3" t="s">
        <v>14</v>
      </c>
    </row>
    <row r="4" spans="1:10" hidden="1" x14ac:dyDescent="0.35">
      <c r="A4" t="s">
        <v>10</v>
      </c>
      <c r="B4" t="s">
        <v>11</v>
      </c>
      <c r="C4">
        <v>2021</v>
      </c>
      <c r="D4" t="s">
        <v>16</v>
      </c>
      <c r="E4" t="s">
        <v>17</v>
      </c>
      <c r="F4">
        <v>19487.52</v>
      </c>
      <c r="G4">
        <v>19859.509999999998</v>
      </c>
      <c r="H4">
        <v>-371.99</v>
      </c>
      <c r="J4" t="s">
        <v>14</v>
      </c>
    </row>
    <row r="5" spans="1:10" hidden="1" x14ac:dyDescent="0.35">
      <c r="A5" t="s">
        <v>10</v>
      </c>
      <c r="B5" t="s">
        <v>11</v>
      </c>
      <c r="C5">
        <v>2021</v>
      </c>
      <c r="D5" t="s">
        <v>18</v>
      </c>
      <c r="E5" t="s">
        <v>17</v>
      </c>
      <c r="F5">
        <v>6948</v>
      </c>
      <c r="G5">
        <v>6546.1</v>
      </c>
      <c r="H5">
        <v>401.9</v>
      </c>
      <c r="J5" t="s">
        <v>14</v>
      </c>
    </row>
    <row r="6" spans="1:10" hidden="1" x14ac:dyDescent="0.35">
      <c r="A6" t="s">
        <v>10</v>
      </c>
      <c r="B6" t="s">
        <v>11</v>
      </c>
      <c r="C6">
        <v>2021</v>
      </c>
      <c r="D6" t="s">
        <v>19</v>
      </c>
      <c r="E6" t="s">
        <v>20</v>
      </c>
      <c r="F6">
        <v>12344.51</v>
      </c>
      <c r="G6">
        <v>11830.99</v>
      </c>
      <c r="H6">
        <v>513.52</v>
      </c>
      <c r="J6" t="s">
        <v>14</v>
      </c>
    </row>
    <row r="7" spans="1:10" hidden="1" x14ac:dyDescent="0.35">
      <c r="A7" t="s">
        <v>10</v>
      </c>
      <c r="B7" t="s">
        <v>11</v>
      </c>
      <c r="C7">
        <v>2021</v>
      </c>
      <c r="D7" t="s">
        <v>21</v>
      </c>
      <c r="E7" t="s">
        <v>13</v>
      </c>
      <c r="F7">
        <v>2848.07</v>
      </c>
      <c r="G7">
        <v>2958.29</v>
      </c>
      <c r="H7">
        <v>-110.22</v>
      </c>
      <c r="J7" t="s">
        <v>14</v>
      </c>
    </row>
    <row r="8" spans="1:10" hidden="1" x14ac:dyDescent="0.35">
      <c r="A8" t="s">
        <v>10</v>
      </c>
      <c r="B8" t="s">
        <v>11</v>
      </c>
      <c r="C8">
        <v>2021</v>
      </c>
      <c r="D8" t="s">
        <v>22</v>
      </c>
      <c r="E8" t="s">
        <v>23</v>
      </c>
      <c r="F8">
        <v>6824.68</v>
      </c>
      <c r="G8">
        <v>8058.07</v>
      </c>
      <c r="H8">
        <v>-1233.3900000000001</v>
      </c>
      <c r="J8" t="s">
        <v>14</v>
      </c>
    </row>
    <row r="9" spans="1:10" hidden="1" x14ac:dyDescent="0.35">
      <c r="A9" t="s">
        <v>10</v>
      </c>
      <c r="B9" t="s">
        <v>11</v>
      </c>
      <c r="C9">
        <v>2021</v>
      </c>
      <c r="D9" t="s">
        <v>24</v>
      </c>
      <c r="E9" t="s">
        <v>13</v>
      </c>
      <c r="F9">
        <v>3622.39</v>
      </c>
      <c r="G9">
        <v>3793.01</v>
      </c>
      <c r="H9">
        <v>-170.62</v>
      </c>
      <c r="J9" t="s">
        <v>14</v>
      </c>
    </row>
    <row r="10" spans="1:10" hidden="1" x14ac:dyDescent="0.35">
      <c r="A10" t="s">
        <v>10</v>
      </c>
      <c r="B10" t="s">
        <v>11</v>
      </c>
      <c r="C10">
        <v>2021</v>
      </c>
      <c r="D10" t="s">
        <v>25</v>
      </c>
      <c r="E10" t="s">
        <v>13</v>
      </c>
      <c r="F10">
        <v>5963.95</v>
      </c>
      <c r="G10">
        <v>5817.69</v>
      </c>
      <c r="H10">
        <v>146.26</v>
      </c>
      <c r="J10" t="s">
        <v>14</v>
      </c>
    </row>
    <row r="11" spans="1:10" hidden="1" x14ac:dyDescent="0.35">
      <c r="A11" t="s">
        <v>10</v>
      </c>
      <c r="B11" t="s">
        <v>11</v>
      </c>
      <c r="C11">
        <v>2021</v>
      </c>
      <c r="D11" t="s">
        <v>26</v>
      </c>
      <c r="E11" t="s">
        <v>17</v>
      </c>
      <c r="F11">
        <v>4314.26</v>
      </c>
      <c r="G11">
        <v>4863.8</v>
      </c>
      <c r="H11">
        <v>-549.53</v>
      </c>
      <c r="J11" t="s">
        <v>14</v>
      </c>
    </row>
    <row r="12" spans="1:10" hidden="1" x14ac:dyDescent="0.35">
      <c r="A12" t="s">
        <v>10</v>
      </c>
      <c r="B12" t="s">
        <v>11</v>
      </c>
      <c r="C12">
        <v>2021</v>
      </c>
      <c r="D12" t="s">
        <v>27</v>
      </c>
      <c r="E12" t="s">
        <v>13</v>
      </c>
      <c r="F12">
        <v>7175.79</v>
      </c>
      <c r="G12">
        <v>7307.79</v>
      </c>
      <c r="H12">
        <v>-131.99</v>
      </c>
      <c r="J12" t="s">
        <v>14</v>
      </c>
    </row>
    <row r="13" spans="1:10" hidden="1" x14ac:dyDescent="0.35">
      <c r="A13" t="s">
        <v>10</v>
      </c>
      <c r="B13" t="s">
        <v>11</v>
      </c>
      <c r="C13">
        <v>2021</v>
      </c>
      <c r="D13" t="s">
        <v>28</v>
      </c>
      <c r="E13" t="s">
        <v>20</v>
      </c>
      <c r="F13">
        <v>7990.34</v>
      </c>
      <c r="G13">
        <v>9018.23</v>
      </c>
      <c r="H13">
        <v>-1027.9000000000001</v>
      </c>
      <c r="J13" t="s">
        <v>14</v>
      </c>
    </row>
    <row r="14" spans="1:10" x14ac:dyDescent="0.35">
      <c r="A14" t="s">
        <v>29</v>
      </c>
      <c r="B14" t="s">
        <v>30</v>
      </c>
      <c r="C14">
        <v>2021</v>
      </c>
      <c r="D14" t="s">
        <v>12</v>
      </c>
      <c r="E14" t="s">
        <v>13</v>
      </c>
      <c r="F14">
        <v>79391.789999999994</v>
      </c>
      <c r="G14">
        <v>78693.48</v>
      </c>
      <c r="H14">
        <v>698.31</v>
      </c>
      <c r="J14" t="s">
        <v>14</v>
      </c>
    </row>
    <row r="15" spans="1:10" hidden="1" x14ac:dyDescent="0.35">
      <c r="A15" t="s">
        <v>29</v>
      </c>
      <c r="B15" t="s">
        <v>30</v>
      </c>
      <c r="C15">
        <v>2021</v>
      </c>
      <c r="D15" t="s">
        <v>15</v>
      </c>
      <c r="E15" t="s">
        <v>15</v>
      </c>
      <c r="F15">
        <v>14917.32</v>
      </c>
      <c r="G15">
        <v>14482.05</v>
      </c>
      <c r="H15">
        <v>435.27</v>
      </c>
      <c r="J15" t="s">
        <v>14</v>
      </c>
    </row>
    <row r="16" spans="1:10" hidden="1" x14ac:dyDescent="0.35">
      <c r="A16" t="s">
        <v>29</v>
      </c>
      <c r="B16" t="s">
        <v>30</v>
      </c>
      <c r="C16">
        <v>2021</v>
      </c>
      <c r="D16" t="s">
        <v>16</v>
      </c>
      <c r="E16" t="s">
        <v>17</v>
      </c>
      <c r="F16">
        <v>19181.32</v>
      </c>
      <c r="G16">
        <v>19639.62</v>
      </c>
      <c r="H16">
        <v>-458.3</v>
      </c>
      <c r="J16" t="s">
        <v>14</v>
      </c>
    </row>
    <row r="17" spans="1:10" hidden="1" x14ac:dyDescent="0.35">
      <c r="A17" t="s">
        <v>29</v>
      </c>
      <c r="B17" t="s">
        <v>30</v>
      </c>
      <c r="C17">
        <v>2021</v>
      </c>
      <c r="D17" t="s">
        <v>18</v>
      </c>
      <c r="E17" t="s">
        <v>17</v>
      </c>
      <c r="F17">
        <v>7046.6</v>
      </c>
      <c r="G17">
        <v>6137.18</v>
      </c>
      <c r="H17">
        <v>909.42</v>
      </c>
      <c r="J17" t="s">
        <v>14</v>
      </c>
    </row>
    <row r="18" spans="1:10" hidden="1" x14ac:dyDescent="0.35">
      <c r="A18" t="s">
        <v>29</v>
      </c>
      <c r="B18" t="s">
        <v>30</v>
      </c>
      <c r="C18">
        <v>2021</v>
      </c>
      <c r="D18" t="s">
        <v>19</v>
      </c>
      <c r="E18" t="s">
        <v>20</v>
      </c>
      <c r="F18">
        <v>10980.15</v>
      </c>
      <c r="G18">
        <v>11995.14</v>
      </c>
      <c r="H18">
        <v>-1014.99</v>
      </c>
      <c r="J18" t="s">
        <v>14</v>
      </c>
    </row>
    <row r="19" spans="1:10" hidden="1" x14ac:dyDescent="0.35">
      <c r="A19" t="s">
        <v>29</v>
      </c>
      <c r="B19" t="s">
        <v>30</v>
      </c>
      <c r="C19">
        <v>2021</v>
      </c>
      <c r="D19" t="s">
        <v>21</v>
      </c>
      <c r="E19" t="s">
        <v>13</v>
      </c>
      <c r="F19">
        <v>2773.8</v>
      </c>
      <c r="G19">
        <v>3074.03</v>
      </c>
      <c r="H19">
        <v>-300.23</v>
      </c>
      <c r="J19" t="s">
        <v>14</v>
      </c>
    </row>
    <row r="20" spans="1:10" hidden="1" x14ac:dyDescent="0.35">
      <c r="A20" t="s">
        <v>29</v>
      </c>
      <c r="B20" t="s">
        <v>30</v>
      </c>
      <c r="C20">
        <v>2021</v>
      </c>
      <c r="D20" t="s">
        <v>22</v>
      </c>
      <c r="E20" t="s">
        <v>23</v>
      </c>
      <c r="F20">
        <v>6788.08</v>
      </c>
      <c r="G20">
        <v>8050.13</v>
      </c>
      <c r="H20">
        <v>-1262.05</v>
      </c>
      <c r="J20" t="s">
        <v>14</v>
      </c>
    </row>
    <row r="21" spans="1:10" hidden="1" x14ac:dyDescent="0.35">
      <c r="A21" t="s">
        <v>29</v>
      </c>
      <c r="B21" t="s">
        <v>30</v>
      </c>
      <c r="C21">
        <v>2021</v>
      </c>
      <c r="D21" t="s">
        <v>24</v>
      </c>
      <c r="E21" t="s">
        <v>13</v>
      </c>
      <c r="F21">
        <v>3901.1</v>
      </c>
      <c r="G21">
        <v>3840.62</v>
      </c>
      <c r="H21">
        <v>60.49</v>
      </c>
      <c r="J21" t="s">
        <v>14</v>
      </c>
    </row>
    <row r="22" spans="1:10" hidden="1" x14ac:dyDescent="0.35">
      <c r="A22" t="s">
        <v>29</v>
      </c>
      <c r="B22" t="s">
        <v>30</v>
      </c>
      <c r="C22">
        <v>2021</v>
      </c>
      <c r="D22" t="s">
        <v>25</v>
      </c>
      <c r="E22" t="s">
        <v>13</v>
      </c>
      <c r="F22">
        <v>6217</v>
      </c>
      <c r="G22">
        <v>6132.92</v>
      </c>
      <c r="H22">
        <v>84.08</v>
      </c>
      <c r="J22" t="s">
        <v>14</v>
      </c>
    </row>
    <row r="23" spans="1:10" hidden="1" x14ac:dyDescent="0.35">
      <c r="A23" t="s">
        <v>29</v>
      </c>
      <c r="B23" t="s">
        <v>30</v>
      </c>
      <c r="C23">
        <v>2021</v>
      </c>
      <c r="D23" t="s">
        <v>26</v>
      </c>
      <c r="E23" t="s">
        <v>17</v>
      </c>
      <c r="F23">
        <v>4862.63</v>
      </c>
      <c r="G23">
        <v>4982.6499999999996</v>
      </c>
      <c r="H23">
        <v>-120.02</v>
      </c>
      <c r="J23" t="s">
        <v>14</v>
      </c>
    </row>
    <row r="24" spans="1:10" hidden="1" x14ac:dyDescent="0.35">
      <c r="A24" t="s">
        <v>29</v>
      </c>
      <c r="B24" t="s">
        <v>30</v>
      </c>
      <c r="C24">
        <v>2021</v>
      </c>
      <c r="D24" t="s">
        <v>27</v>
      </c>
      <c r="E24" t="s">
        <v>13</v>
      </c>
      <c r="F24">
        <v>6304.28</v>
      </c>
      <c r="G24">
        <v>6689.51</v>
      </c>
      <c r="H24">
        <v>-385.23</v>
      </c>
      <c r="J24" t="s">
        <v>14</v>
      </c>
    </row>
    <row r="25" spans="1:10" hidden="1" x14ac:dyDescent="0.35">
      <c r="A25" t="s">
        <v>29</v>
      </c>
      <c r="B25" t="s">
        <v>30</v>
      </c>
      <c r="C25">
        <v>2021</v>
      </c>
      <c r="D25" t="s">
        <v>28</v>
      </c>
      <c r="E25" t="s">
        <v>20</v>
      </c>
      <c r="F25">
        <v>9626.24</v>
      </c>
      <c r="G25">
        <v>8875.6299999999992</v>
      </c>
      <c r="H25">
        <v>750.61</v>
      </c>
      <c r="J25" t="s">
        <v>14</v>
      </c>
    </row>
    <row r="26" spans="1:10" x14ac:dyDescent="0.35">
      <c r="A26" t="s">
        <v>31</v>
      </c>
      <c r="B26" t="s">
        <v>32</v>
      </c>
      <c r="C26">
        <v>2021</v>
      </c>
      <c r="D26" t="s">
        <v>12</v>
      </c>
      <c r="E26" t="s">
        <v>13</v>
      </c>
      <c r="F26">
        <v>69424.91</v>
      </c>
      <c r="G26">
        <v>80824.679999999993</v>
      </c>
      <c r="H26">
        <v>-11399.77</v>
      </c>
      <c r="J26" t="s">
        <v>14</v>
      </c>
    </row>
    <row r="27" spans="1:10" hidden="1" x14ac:dyDescent="0.35">
      <c r="A27" t="s">
        <v>31</v>
      </c>
      <c r="B27" t="s">
        <v>32</v>
      </c>
      <c r="C27">
        <v>2021</v>
      </c>
      <c r="D27" t="s">
        <v>15</v>
      </c>
      <c r="E27" t="s">
        <v>15</v>
      </c>
      <c r="F27">
        <v>14679.25</v>
      </c>
      <c r="G27">
        <v>15145.84</v>
      </c>
      <c r="H27">
        <v>-466.59</v>
      </c>
      <c r="J27" t="s">
        <v>14</v>
      </c>
    </row>
    <row r="28" spans="1:10" hidden="1" x14ac:dyDescent="0.35">
      <c r="A28" t="s">
        <v>31</v>
      </c>
      <c r="B28" t="s">
        <v>32</v>
      </c>
      <c r="C28">
        <v>2021</v>
      </c>
      <c r="D28" t="s">
        <v>16</v>
      </c>
      <c r="E28" t="s">
        <v>17</v>
      </c>
      <c r="F28">
        <v>20552.650000000001</v>
      </c>
      <c r="G28">
        <v>19593.849999999999</v>
      </c>
      <c r="H28">
        <v>958.81</v>
      </c>
      <c r="J28" t="s">
        <v>14</v>
      </c>
    </row>
    <row r="29" spans="1:10" hidden="1" x14ac:dyDescent="0.35">
      <c r="A29" t="s">
        <v>31</v>
      </c>
      <c r="B29" t="s">
        <v>32</v>
      </c>
      <c r="C29">
        <v>2021</v>
      </c>
      <c r="D29" t="s">
        <v>18</v>
      </c>
      <c r="E29" t="s">
        <v>17</v>
      </c>
      <c r="F29">
        <v>5538.68</v>
      </c>
      <c r="G29">
        <v>5154.6499999999996</v>
      </c>
      <c r="H29">
        <v>384.03</v>
      </c>
      <c r="J29" t="s">
        <v>14</v>
      </c>
    </row>
    <row r="30" spans="1:10" hidden="1" x14ac:dyDescent="0.35">
      <c r="A30" t="s">
        <v>31</v>
      </c>
      <c r="B30" t="s">
        <v>32</v>
      </c>
      <c r="C30">
        <v>2021</v>
      </c>
      <c r="D30" t="s">
        <v>19</v>
      </c>
      <c r="E30" t="s">
        <v>20</v>
      </c>
      <c r="F30">
        <v>11408.51</v>
      </c>
      <c r="G30">
        <v>11697.88</v>
      </c>
      <c r="H30">
        <v>-289.37</v>
      </c>
      <c r="J30" t="s">
        <v>14</v>
      </c>
    </row>
    <row r="31" spans="1:10" hidden="1" x14ac:dyDescent="0.35">
      <c r="A31" t="s">
        <v>31</v>
      </c>
      <c r="B31" t="s">
        <v>32</v>
      </c>
      <c r="C31">
        <v>2021</v>
      </c>
      <c r="D31" t="s">
        <v>21</v>
      </c>
      <c r="E31" t="s">
        <v>13</v>
      </c>
      <c r="F31">
        <v>3266.27</v>
      </c>
      <c r="G31">
        <v>3029.81</v>
      </c>
      <c r="H31">
        <v>236.46</v>
      </c>
      <c r="J31" t="s">
        <v>14</v>
      </c>
    </row>
    <row r="32" spans="1:10" hidden="1" x14ac:dyDescent="0.35">
      <c r="A32" t="s">
        <v>31</v>
      </c>
      <c r="B32" t="s">
        <v>32</v>
      </c>
      <c r="C32">
        <v>2021</v>
      </c>
      <c r="D32" t="s">
        <v>22</v>
      </c>
      <c r="E32" t="s">
        <v>23</v>
      </c>
      <c r="F32">
        <v>7767.88</v>
      </c>
      <c r="G32">
        <v>7885</v>
      </c>
      <c r="H32">
        <v>-117.11</v>
      </c>
      <c r="J32" t="s">
        <v>14</v>
      </c>
    </row>
    <row r="33" spans="1:10" hidden="1" x14ac:dyDescent="0.35">
      <c r="A33" t="s">
        <v>31</v>
      </c>
      <c r="B33" t="s">
        <v>32</v>
      </c>
      <c r="C33">
        <v>2021</v>
      </c>
      <c r="D33" t="s">
        <v>24</v>
      </c>
      <c r="E33" t="s">
        <v>13</v>
      </c>
      <c r="F33">
        <v>3497.16</v>
      </c>
      <c r="G33">
        <v>3867.24</v>
      </c>
      <c r="H33">
        <v>-370.08</v>
      </c>
      <c r="J33" t="s">
        <v>14</v>
      </c>
    </row>
    <row r="34" spans="1:10" hidden="1" x14ac:dyDescent="0.35">
      <c r="A34" t="s">
        <v>31</v>
      </c>
      <c r="B34" t="s">
        <v>32</v>
      </c>
      <c r="C34">
        <v>2021</v>
      </c>
      <c r="D34" t="s">
        <v>25</v>
      </c>
      <c r="E34" t="s">
        <v>13</v>
      </c>
      <c r="F34">
        <v>6813.12</v>
      </c>
      <c r="G34">
        <v>6146.25</v>
      </c>
      <c r="H34">
        <v>666.86</v>
      </c>
      <c r="J34" t="s">
        <v>14</v>
      </c>
    </row>
    <row r="35" spans="1:10" hidden="1" x14ac:dyDescent="0.35">
      <c r="A35" t="s">
        <v>31</v>
      </c>
      <c r="B35" t="s">
        <v>32</v>
      </c>
      <c r="C35">
        <v>2021</v>
      </c>
      <c r="D35" t="s">
        <v>26</v>
      </c>
      <c r="E35" t="s">
        <v>17</v>
      </c>
      <c r="F35">
        <v>5389.74</v>
      </c>
      <c r="G35">
        <v>4989.2</v>
      </c>
      <c r="H35">
        <v>400.55</v>
      </c>
      <c r="J35" t="s">
        <v>14</v>
      </c>
    </row>
    <row r="36" spans="1:10" hidden="1" x14ac:dyDescent="0.35">
      <c r="A36" t="s">
        <v>31</v>
      </c>
      <c r="B36" t="s">
        <v>32</v>
      </c>
      <c r="C36">
        <v>2021</v>
      </c>
      <c r="D36" t="s">
        <v>27</v>
      </c>
      <c r="E36" t="s">
        <v>13</v>
      </c>
      <c r="F36">
        <v>6710.76</v>
      </c>
      <c r="G36">
        <v>7075.94</v>
      </c>
      <c r="H36">
        <v>-365.19</v>
      </c>
      <c r="J36" t="s">
        <v>14</v>
      </c>
    </row>
    <row r="37" spans="1:10" hidden="1" x14ac:dyDescent="0.35">
      <c r="A37" t="s">
        <v>31</v>
      </c>
      <c r="B37" t="s">
        <v>32</v>
      </c>
      <c r="C37">
        <v>2021</v>
      </c>
      <c r="D37" t="s">
        <v>28</v>
      </c>
      <c r="E37" t="s">
        <v>20</v>
      </c>
      <c r="F37">
        <v>10216.969999999999</v>
      </c>
      <c r="G37">
        <v>9097.58</v>
      </c>
      <c r="H37">
        <v>1119.3900000000001</v>
      </c>
      <c r="J37" t="s">
        <v>14</v>
      </c>
    </row>
    <row r="38" spans="1:10" x14ac:dyDescent="0.35">
      <c r="A38" t="s">
        <v>33</v>
      </c>
      <c r="B38" t="s">
        <v>34</v>
      </c>
      <c r="C38">
        <v>2021</v>
      </c>
      <c r="D38" t="s">
        <v>12</v>
      </c>
      <c r="E38" t="s">
        <v>13</v>
      </c>
      <c r="F38">
        <v>89916.97</v>
      </c>
      <c r="G38">
        <v>79914.02</v>
      </c>
      <c r="H38">
        <v>10002.959999999999</v>
      </c>
      <c r="J38" t="s">
        <v>35</v>
      </c>
    </row>
    <row r="39" spans="1:10" hidden="1" x14ac:dyDescent="0.35">
      <c r="A39" t="s">
        <v>33</v>
      </c>
      <c r="B39" t="s">
        <v>34</v>
      </c>
      <c r="C39">
        <v>2021</v>
      </c>
      <c r="D39" t="s">
        <v>15</v>
      </c>
      <c r="E39" t="s">
        <v>15</v>
      </c>
      <c r="F39">
        <v>14729.88</v>
      </c>
      <c r="G39">
        <v>13821.11</v>
      </c>
      <c r="H39">
        <v>908.77</v>
      </c>
      <c r="J39" t="s">
        <v>35</v>
      </c>
    </row>
    <row r="40" spans="1:10" hidden="1" x14ac:dyDescent="0.35">
      <c r="A40" t="s">
        <v>33</v>
      </c>
      <c r="B40" t="s">
        <v>34</v>
      </c>
      <c r="C40">
        <v>2021</v>
      </c>
      <c r="D40" t="s">
        <v>16</v>
      </c>
      <c r="E40" t="s">
        <v>17</v>
      </c>
      <c r="F40">
        <v>19572.57</v>
      </c>
      <c r="G40">
        <v>20052.23</v>
      </c>
      <c r="H40">
        <v>-479.66</v>
      </c>
      <c r="J40" t="s">
        <v>35</v>
      </c>
    </row>
    <row r="41" spans="1:10" hidden="1" x14ac:dyDescent="0.35">
      <c r="A41" t="s">
        <v>33</v>
      </c>
      <c r="B41" t="s">
        <v>34</v>
      </c>
      <c r="C41">
        <v>2021</v>
      </c>
      <c r="D41" t="s">
        <v>18</v>
      </c>
      <c r="E41" t="s">
        <v>17</v>
      </c>
      <c r="F41">
        <v>4216.55</v>
      </c>
      <c r="G41">
        <v>5013.76</v>
      </c>
      <c r="H41">
        <v>-797.22</v>
      </c>
      <c r="J41" t="s">
        <v>35</v>
      </c>
    </row>
    <row r="42" spans="1:10" hidden="1" x14ac:dyDescent="0.35">
      <c r="A42" t="s">
        <v>33</v>
      </c>
      <c r="B42" t="s">
        <v>34</v>
      </c>
      <c r="C42">
        <v>2021</v>
      </c>
      <c r="D42" t="s">
        <v>19</v>
      </c>
      <c r="E42" t="s">
        <v>20</v>
      </c>
      <c r="F42">
        <v>12261.49</v>
      </c>
      <c r="G42">
        <v>11920.92</v>
      </c>
      <c r="H42">
        <v>340.57</v>
      </c>
      <c r="J42" t="s">
        <v>35</v>
      </c>
    </row>
    <row r="43" spans="1:10" hidden="1" x14ac:dyDescent="0.35">
      <c r="A43" t="s">
        <v>33</v>
      </c>
      <c r="B43" t="s">
        <v>34</v>
      </c>
      <c r="C43">
        <v>2021</v>
      </c>
      <c r="D43" t="s">
        <v>21</v>
      </c>
      <c r="E43" t="s">
        <v>13</v>
      </c>
      <c r="F43">
        <v>3003.11</v>
      </c>
      <c r="G43">
        <v>3133.01</v>
      </c>
      <c r="H43">
        <v>-129.9</v>
      </c>
      <c r="J43" t="s">
        <v>35</v>
      </c>
    </row>
    <row r="44" spans="1:10" hidden="1" x14ac:dyDescent="0.35">
      <c r="A44" t="s">
        <v>33</v>
      </c>
      <c r="B44" t="s">
        <v>34</v>
      </c>
      <c r="C44">
        <v>2021</v>
      </c>
      <c r="D44" t="s">
        <v>22</v>
      </c>
      <c r="E44" t="s">
        <v>23</v>
      </c>
      <c r="F44">
        <v>7492.63</v>
      </c>
      <c r="G44">
        <v>7805.96</v>
      </c>
      <c r="H44">
        <v>-313.33999999999997</v>
      </c>
      <c r="J44" t="s">
        <v>35</v>
      </c>
    </row>
    <row r="45" spans="1:10" hidden="1" x14ac:dyDescent="0.35">
      <c r="A45" t="s">
        <v>33</v>
      </c>
      <c r="B45" t="s">
        <v>34</v>
      </c>
      <c r="C45">
        <v>2021</v>
      </c>
      <c r="D45" t="s">
        <v>24</v>
      </c>
      <c r="E45" t="s">
        <v>13</v>
      </c>
      <c r="F45">
        <v>4217.9399999999996</v>
      </c>
      <c r="G45">
        <v>4109.8500000000004</v>
      </c>
      <c r="H45">
        <v>108.09</v>
      </c>
      <c r="J45" t="s">
        <v>35</v>
      </c>
    </row>
    <row r="46" spans="1:10" hidden="1" x14ac:dyDescent="0.35">
      <c r="A46" t="s">
        <v>33</v>
      </c>
      <c r="B46" t="s">
        <v>34</v>
      </c>
      <c r="C46">
        <v>2021</v>
      </c>
      <c r="D46" t="s">
        <v>25</v>
      </c>
      <c r="E46" t="s">
        <v>13</v>
      </c>
      <c r="F46">
        <v>6147.1</v>
      </c>
      <c r="G46">
        <v>5904.64</v>
      </c>
      <c r="H46">
        <v>242.45</v>
      </c>
      <c r="J46" t="s">
        <v>35</v>
      </c>
    </row>
    <row r="47" spans="1:10" hidden="1" x14ac:dyDescent="0.35">
      <c r="A47" t="s">
        <v>33</v>
      </c>
      <c r="B47" t="s">
        <v>34</v>
      </c>
      <c r="C47">
        <v>2021</v>
      </c>
      <c r="D47" t="s">
        <v>26</v>
      </c>
      <c r="E47" t="s">
        <v>17</v>
      </c>
      <c r="F47">
        <v>5403.15</v>
      </c>
      <c r="G47">
        <v>5014.5600000000004</v>
      </c>
      <c r="H47">
        <v>388.59</v>
      </c>
      <c r="J47" t="s">
        <v>35</v>
      </c>
    </row>
    <row r="48" spans="1:10" hidden="1" x14ac:dyDescent="0.35">
      <c r="A48" t="s">
        <v>33</v>
      </c>
      <c r="B48" t="s">
        <v>34</v>
      </c>
      <c r="C48">
        <v>2021</v>
      </c>
      <c r="D48" t="s">
        <v>27</v>
      </c>
      <c r="E48" t="s">
        <v>13</v>
      </c>
      <c r="F48">
        <v>6672.94</v>
      </c>
      <c r="G48">
        <v>6852.57</v>
      </c>
      <c r="H48">
        <v>-179.63</v>
      </c>
      <c r="J48" t="s">
        <v>35</v>
      </c>
    </row>
    <row r="49" spans="1:10" hidden="1" x14ac:dyDescent="0.35">
      <c r="A49" t="s">
        <v>33</v>
      </c>
      <c r="B49" t="s">
        <v>34</v>
      </c>
      <c r="C49">
        <v>2021</v>
      </c>
      <c r="D49" t="s">
        <v>28</v>
      </c>
      <c r="E49" t="s">
        <v>20</v>
      </c>
      <c r="F49">
        <v>7852.8</v>
      </c>
      <c r="G49">
        <v>8894.1299999999992</v>
      </c>
      <c r="H49">
        <v>-1041.3399999999999</v>
      </c>
      <c r="J49" t="s">
        <v>35</v>
      </c>
    </row>
    <row r="50" spans="1:10" x14ac:dyDescent="0.35">
      <c r="A50" t="s">
        <v>36</v>
      </c>
      <c r="B50" t="s">
        <v>37</v>
      </c>
      <c r="C50">
        <v>2021</v>
      </c>
      <c r="D50" t="s">
        <v>12</v>
      </c>
      <c r="E50" t="s">
        <v>13</v>
      </c>
      <c r="F50">
        <v>82396.28</v>
      </c>
      <c r="G50">
        <v>80710.69</v>
      </c>
      <c r="H50">
        <v>1685.6</v>
      </c>
      <c r="J50" t="s">
        <v>35</v>
      </c>
    </row>
    <row r="51" spans="1:10" hidden="1" x14ac:dyDescent="0.35">
      <c r="A51" t="s">
        <v>36</v>
      </c>
      <c r="B51" t="s">
        <v>37</v>
      </c>
      <c r="C51">
        <v>2021</v>
      </c>
      <c r="D51" t="s">
        <v>15</v>
      </c>
      <c r="E51" t="s">
        <v>15</v>
      </c>
      <c r="F51">
        <v>14720.75</v>
      </c>
      <c r="G51">
        <v>15002.3</v>
      </c>
      <c r="H51">
        <v>-281.55</v>
      </c>
      <c r="J51" t="s">
        <v>35</v>
      </c>
    </row>
    <row r="52" spans="1:10" hidden="1" x14ac:dyDescent="0.35">
      <c r="A52" t="s">
        <v>36</v>
      </c>
      <c r="B52" t="s">
        <v>37</v>
      </c>
      <c r="C52">
        <v>2021</v>
      </c>
      <c r="D52" t="s">
        <v>16</v>
      </c>
      <c r="E52" t="s">
        <v>17</v>
      </c>
      <c r="F52">
        <v>18506.32</v>
      </c>
      <c r="G52">
        <v>19150.78</v>
      </c>
      <c r="H52">
        <v>-644.45000000000005</v>
      </c>
      <c r="J52" t="s">
        <v>35</v>
      </c>
    </row>
    <row r="53" spans="1:10" hidden="1" x14ac:dyDescent="0.35">
      <c r="A53" t="s">
        <v>36</v>
      </c>
      <c r="B53" t="s">
        <v>37</v>
      </c>
      <c r="C53">
        <v>2021</v>
      </c>
      <c r="D53" t="s">
        <v>18</v>
      </c>
      <c r="E53" t="s">
        <v>17</v>
      </c>
      <c r="F53">
        <v>4630.9799999999996</v>
      </c>
      <c r="G53">
        <v>4948.59</v>
      </c>
      <c r="H53">
        <v>-317.61</v>
      </c>
      <c r="J53" t="s">
        <v>35</v>
      </c>
    </row>
    <row r="54" spans="1:10" hidden="1" x14ac:dyDescent="0.35">
      <c r="A54" t="s">
        <v>36</v>
      </c>
      <c r="B54" t="s">
        <v>37</v>
      </c>
      <c r="C54">
        <v>2021</v>
      </c>
      <c r="D54" t="s">
        <v>19</v>
      </c>
      <c r="E54" t="s">
        <v>20</v>
      </c>
      <c r="F54">
        <v>12327.95</v>
      </c>
      <c r="G54">
        <v>11941.94</v>
      </c>
      <c r="H54">
        <v>386.01</v>
      </c>
      <c r="J54" t="s">
        <v>35</v>
      </c>
    </row>
    <row r="55" spans="1:10" hidden="1" x14ac:dyDescent="0.35">
      <c r="A55" t="s">
        <v>36</v>
      </c>
      <c r="B55" t="s">
        <v>37</v>
      </c>
      <c r="C55">
        <v>2021</v>
      </c>
      <c r="D55" t="s">
        <v>21</v>
      </c>
      <c r="E55" t="s">
        <v>13</v>
      </c>
      <c r="F55">
        <v>3214.03</v>
      </c>
      <c r="G55">
        <v>3169.76</v>
      </c>
      <c r="H55">
        <v>44.27</v>
      </c>
      <c r="J55" t="s">
        <v>35</v>
      </c>
    </row>
    <row r="56" spans="1:10" hidden="1" x14ac:dyDescent="0.35">
      <c r="A56" t="s">
        <v>36</v>
      </c>
      <c r="B56" t="s">
        <v>37</v>
      </c>
      <c r="C56">
        <v>2021</v>
      </c>
      <c r="D56" t="s">
        <v>22</v>
      </c>
      <c r="E56" t="s">
        <v>23</v>
      </c>
      <c r="F56">
        <v>8013.8</v>
      </c>
      <c r="G56">
        <v>8061.81</v>
      </c>
      <c r="H56">
        <v>-48.01</v>
      </c>
      <c r="J56" t="s">
        <v>35</v>
      </c>
    </row>
    <row r="57" spans="1:10" hidden="1" x14ac:dyDescent="0.35">
      <c r="A57" t="s">
        <v>36</v>
      </c>
      <c r="B57" t="s">
        <v>37</v>
      </c>
      <c r="C57">
        <v>2021</v>
      </c>
      <c r="D57" t="s">
        <v>24</v>
      </c>
      <c r="E57" t="s">
        <v>13</v>
      </c>
      <c r="F57">
        <v>3761.75</v>
      </c>
      <c r="G57">
        <v>3769.75</v>
      </c>
      <c r="H57">
        <v>-8</v>
      </c>
      <c r="J57" t="s">
        <v>35</v>
      </c>
    </row>
    <row r="58" spans="1:10" hidden="1" x14ac:dyDescent="0.35">
      <c r="A58" t="s">
        <v>36</v>
      </c>
      <c r="B58" t="s">
        <v>37</v>
      </c>
      <c r="C58">
        <v>2021</v>
      </c>
      <c r="D58" t="s">
        <v>25</v>
      </c>
      <c r="E58" t="s">
        <v>13</v>
      </c>
      <c r="F58">
        <v>7195.33</v>
      </c>
      <c r="G58">
        <v>6010.84</v>
      </c>
      <c r="H58">
        <v>1184.49</v>
      </c>
      <c r="J58" t="s">
        <v>35</v>
      </c>
    </row>
    <row r="59" spans="1:10" hidden="1" x14ac:dyDescent="0.35">
      <c r="A59" t="s">
        <v>36</v>
      </c>
      <c r="B59" t="s">
        <v>37</v>
      </c>
      <c r="C59">
        <v>2021</v>
      </c>
      <c r="D59" t="s">
        <v>26</v>
      </c>
      <c r="E59" t="s">
        <v>17</v>
      </c>
      <c r="F59">
        <v>5091.07</v>
      </c>
      <c r="G59">
        <v>4971.1499999999996</v>
      </c>
      <c r="H59">
        <v>119.92</v>
      </c>
      <c r="J59" t="s">
        <v>35</v>
      </c>
    </row>
    <row r="60" spans="1:10" hidden="1" x14ac:dyDescent="0.35">
      <c r="A60" t="s">
        <v>36</v>
      </c>
      <c r="B60" t="s">
        <v>37</v>
      </c>
      <c r="C60">
        <v>2021</v>
      </c>
      <c r="D60" t="s">
        <v>27</v>
      </c>
      <c r="E60" t="s">
        <v>13</v>
      </c>
      <c r="F60">
        <v>6338.93</v>
      </c>
      <c r="G60">
        <v>6992.71</v>
      </c>
      <c r="H60">
        <v>-653.78</v>
      </c>
      <c r="J60" t="s">
        <v>35</v>
      </c>
    </row>
    <row r="61" spans="1:10" hidden="1" x14ac:dyDescent="0.35">
      <c r="A61" t="s">
        <v>36</v>
      </c>
      <c r="B61" t="s">
        <v>37</v>
      </c>
      <c r="C61">
        <v>2021</v>
      </c>
      <c r="D61" t="s">
        <v>28</v>
      </c>
      <c r="E61" t="s">
        <v>20</v>
      </c>
      <c r="F61">
        <v>9868.52</v>
      </c>
      <c r="G61">
        <v>9308.56</v>
      </c>
      <c r="H61">
        <v>559.95000000000005</v>
      </c>
      <c r="J61" t="s">
        <v>35</v>
      </c>
    </row>
    <row r="62" spans="1:10" x14ac:dyDescent="0.35">
      <c r="A62" t="s">
        <v>38</v>
      </c>
      <c r="B62" t="s">
        <v>39</v>
      </c>
      <c r="C62">
        <v>2021</v>
      </c>
      <c r="D62" t="s">
        <v>12</v>
      </c>
      <c r="E62" t="s">
        <v>13</v>
      </c>
      <c r="F62">
        <v>75940.28</v>
      </c>
      <c r="G62">
        <v>81898.48</v>
      </c>
      <c r="H62">
        <v>-5958.2</v>
      </c>
      <c r="J62" t="s">
        <v>35</v>
      </c>
    </row>
    <row r="63" spans="1:10" hidden="1" x14ac:dyDescent="0.35">
      <c r="A63" t="s">
        <v>38</v>
      </c>
      <c r="B63" t="s">
        <v>39</v>
      </c>
      <c r="C63">
        <v>2021</v>
      </c>
      <c r="D63" t="s">
        <v>15</v>
      </c>
      <c r="E63" t="s">
        <v>15</v>
      </c>
      <c r="F63">
        <v>13878.24</v>
      </c>
      <c r="G63">
        <v>15631.26</v>
      </c>
      <c r="H63">
        <v>-1753.02</v>
      </c>
      <c r="J63" t="s">
        <v>35</v>
      </c>
    </row>
    <row r="64" spans="1:10" hidden="1" x14ac:dyDescent="0.35">
      <c r="A64" t="s">
        <v>38</v>
      </c>
      <c r="B64" t="s">
        <v>39</v>
      </c>
      <c r="C64">
        <v>2021</v>
      </c>
      <c r="D64" t="s">
        <v>16</v>
      </c>
      <c r="E64" t="s">
        <v>17</v>
      </c>
      <c r="F64">
        <v>23918.55</v>
      </c>
      <c r="G64">
        <v>20352.11</v>
      </c>
      <c r="H64">
        <v>3566.43</v>
      </c>
      <c r="J64" t="s">
        <v>35</v>
      </c>
    </row>
    <row r="65" spans="1:10" hidden="1" x14ac:dyDescent="0.35">
      <c r="A65" t="s">
        <v>38</v>
      </c>
      <c r="B65" t="s">
        <v>39</v>
      </c>
      <c r="C65">
        <v>2021</v>
      </c>
      <c r="D65" t="s">
        <v>18</v>
      </c>
      <c r="E65" t="s">
        <v>17</v>
      </c>
      <c r="F65">
        <v>4631.63</v>
      </c>
      <c r="G65">
        <v>4851.42</v>
      </c>
      <c r="H65">
        <v>-219.79</v>
      </c>
      <c r="J65" t="s">
        <v>35</v>
      </c>
    </row>
    <row r="66" spans="1:10" hidden="1" x14ac:dyDescent="0.35">
      <c r="A66" t="s">
        <v>38</v>
      </c>
      <c r="B66" t="s">
        <v>39</v>
      </c>
      <c r="C66">
        <v>2021</v>
      </c>
      <c r="D66" t="s">
        <v>19</v>
      </c>
      <c r="E66" t="s">
        <v>20</v>
      </c>
      <c r="F66">
        <v>11551.09</v>
      </c>
      <c r="G66">
        <v>12035.87</v>
      </c>
      <c r="H66">
        <v>-484.78</v>
      </c>
      <c r="J66" t="s">
        <v>35</v>
      </c>
    </row>
    <row r="67" spans="1:10" hidden="1" x14ac:dyDescent="0.35">
      <c r="A67" t="s">
        <v>38</v>
      </c>
      <c r="B67" t="s">
        <v>39</v>
      </c>
      <c r="C67">
        <v>2021</v>
      </c>
      <c r="D67" t="s">
        <v>21</v>
      </c>
      <c r="E67" t="s">
        <v>13</v>
      </c>
      <c r="F67">
        <v>2876.13</v>
      </c>
      <c r="G67">
        <v>2860.44</v>
      </c>
      <c r="H67">
        <v>15.69</v>
      </c>
      <c r="J67" t="s">
        <v>35</v>
      </c>
    </row>
    <row r="68" spans="1:10" hidden="1" x14ac:dyDescent="0.35">
      <c r="A68" t="s">
        <v>38</v>
      </c>
      <c r="B68" t="s">
        <v>39</v>
      </c>
      <c r="C68">
        <v>2021</v>
      </c>
      <c r="D68" t="s">
        <v>22</v>
      </c>
      <c r="E68" t="s">
        <v>23</v>
      </c>
      <c r="F68">
        <v>11253.88</v>
      </c>
      <c r="G68">
        <v>10843.07</v>
      </c>
      <c r="H68">
        <v>410.82</v>
      </c>
      <c r="J68" t="s">
        <v>35</v>
      </c>
    </row>
    <row r="69" spans="1:10" hidden="1" x14ac:dyDescent="0.35">
      <c r="A69" t="s">
        <v>38</v>
      </c>
      <c r="B69" t="s">
        <v>39</v>
      </c>
      <c r="C69">
        <v>2021</v>
      </c>
      <c r="D69" t="s">
        <v>24</v>
      </c>
      <c r="E69" t="s">
        <v>13</v>
      </c>
      <c r="F69">
        <v>4371.97</v>
      </c>
      <c r="G69">
        <v>3889.67</v>
      </c>
      <c r="H69">
        <v>482.3</v>
      </c>
      <c r="J69" t="s">
        <v>35</v>
      </c>
    </row>
    <row r="70" spans="1:10" hidden="1" x14ac:dyDescent="0.35">
      <c r="A70" t="s">
        <v>38</v>
      </c>
      <c r="B70" t="s">
        <v>39</v>
      </c>
      <c r="C70">
        <v>2021</v>
      </c>
      <c r="D70" t="s">
        <v>25</v>
      </c>
      <c r="E70" t="s">
        <v>13</v>
      </c>
      <c r="F70">
        <v>5708.06</v>
      </c>
      <c r="G70">
        <v>5859.01</v>
      </c>
      <c r="H70">
        <v>-150.96</v>
      </c>
      <c r="J70" t="s">
        <v>35</v>
      </c>
    </row>
    <row r="71" spans="1:10" hidden="1" x14ac:dyDescent="0.35">
      <c r="A71" t="s">
        <v>38</v>
      </c>
      <c r="B71" t="s">
        <v>39</v>
      </c>
      <c r="C71">
        <v>2021</v>
      </c>
      <c r="D71" t="s">
        <v>26</v>
      </c>
      <c r="E71" t="s">
        <v>17</v>
      </c>
      <c r="F71">
        <v>4617.67</v>
      </c>
      <c r="G71">
        <v>5122.03</v>
      </c>
      <c r="H71">
        <v>-504.36</v>
      </c>
      <c r="J71" t="s">
        <v>35</v>
      </c>
    </row>
    <row r="72" spans="1:10" hidden="1" x14ac:dyDescent="0.35">
      <c r="A72" t="s">
        <v>38</v>
      </c>
      <c r="B72" t="s">
        <v>39</v>
      </c>
      <c r="C72">
        <v>2021</v>
      </c>
      <c r="D72" t="s">
        <v>27</v>
      </c>
      <c r="E72" t="s">
        <v>13</v>
      </c>
      <c r="F72">
        <v>7784.76</v>
      </c>
      <c r="G72">
        <v>7047.77</v>
      </c>
      <c r="H72">
        <v>736.99</v>
      </c>
      <c r="J72" t="s">
        <v>35</v>
      </c>
    </row>
    <row r="73" spans="1:10" hidden="1" x14ac:dyDescent="0.35">
      <c r="A73" t="s">
        <v>38</v>
      </c>
      <c r="B73" t="s">
        <v>39</v>
      </c>
      <c r="C73">
        <v>2021</v>
      </c>
      <c r="D73" t="s">
        <v>28</v>
      </c>
      <c r="E73" t="s">
        <v>20</v>
      </c>
      <c r="F73">
        <v>8692.51</v>
      </c>
      <c r="G73">
        <v>8565.98</v>
      </c>
      <c r="H73">
        <v>126.53</v>
      </c>
      <c r="J73" t="s">
        <v>35</v>
      </c>
    </row>
    <row r="74" spans="1:10" x14ac:dyDescent="0.35">
      <c r="A74" t="s">
        <v>40</v>
      </c>
      <c r="B74" t="s">
        <v>41</v>
      </c>
      <c r="C74">
        <v>2021</v>
      </c>
      <c r="D74" t="s">
        <v>12</v>
      </c>
      <c r="E74" t="s">
        <v>13</v>
      </c>
      <c r="F74">
        <v>85666.4</v>
      </c>
      <c r="G74">
        <v>80623.72</v>
      </c>
      <c r="H74">
        <v>5042.68</v>
      </c>
      <c r="J74" t="s">
        <v>42</v>
      </c>
    </row>
    <row r="75" spans="1:10" hidden="1" x14ac:dyDescent="0.35">
      <c r="A75" t="s">
        <v>40</v>
      </c>
      <c r="B75" t="s">
        <v>41</v>
      </c>
      <c r="C75">
        <v>2021</v>
      </c>
      <c r="D75" t="s">
        <v>15</v>
      </c>
      <c r="E75" t="s">
        <v>15</v>
      </c>
      <c r="F75">
        <v>12917.62</v>
      </c>
      <c r="G75">
        <v>14443.37</v>
      </c>
      <c r="H75">
        <v>-1525.75</v>
      </c>
      <c r="J75" t="s">
        <v>42</v>
      </c>
    </row>
    <row r="76" spans="1:10" hidden="1" x14ac:dyDescent="0.35">
      <c r="A76" t="s">
        <v>40</v>
      </c>
      <c r="B76" t="s">
        <v>41</v>
      </c>
      <c r="C76">
        <v>2021</v>
      </c>
      <c r="D76" t="s">
        <v>16</v>
      </c>
      <c r="E76" t="s">
        <v>17</v>
      </c>
      <c r="F76">
        <v>20795.78</v>
      </c>
      <c r="G76">
        <v>20313.16</v>
      </c>
      <c r="H76">
        <v>482.62</v>
      </c>
      <c r="J76" t="s">
        <v>42</v>
      </c>
    </row>
    <row r="77" spans="1:10" hidden="1" x14ac:dyDescent="0.35">
      <c r="A77" t="s">
        <v>40</v>
      </c>
      <c r="B77" t="s">
        <v>41</v>
      </c>
      <c r="C77">
        <v>2021</v>
      </c>
      <c r="D77" t="s">
        <v>18</v>
      </c>
      <c r="E77" t="s">
        <v>17</v>
      </c>
      <c r="F77">
        <v>5177.1899999999996</v>
      </c>
      <c r="G77">
        <v>5037.57</v>
      </c>
      <c r="H77">
        <v>139.62</v>
      </c>
      <c r="J77" t="s">
        <v>42</v>
      </c>
    </row>
    <row r="78" spans="1:10" hidden="1" x14ac:dyDescent="0.35">
      <c r="A78" t="s">
        <v>40</v>
      </c>
      <c r="B78" t="s">
        <v>41</v>
      </c>
      <c r="C78">
        <v>2021</v>
      </c>
      <c r="D78" t="s">
        <v>19</v>
      </c>
      <c r="E78" t="s">
        <v>20</v>
      </c>
      <c r="F78">
        <v>11973.61</v>
      </c>
      <c r="G78">
        <v>11755.19</v>
      </c>
      <c r="H78">
        <v>218.41</v>
      </c>
      <c r="J78" t="s">
        <v>42</v>
      </c>
    </row>
    <row r="79" spans="1:10" hidden="1" x14ac:dyDescent="0.35">
      <c r="A79" t="s">
        <v>40</v>
      </c>
      <c r="B79" t="s">
        <v>41</v>
      </c>
      <c r="C79">
        <v>2021</v>
      </c>
      <c r="D79" t="s">
        <v>21</v>
      </c>
      <c r="E79" t="s">
        <v>13</v>
      </c>
      <c r="F79">
        <v>2853.42</v>
      </c>
      <c r="G79">
        <v>3026.38</v>
      </c>
      <c r="H79">
        <v>-172.95</v>
      </c>
      <c r="J79" t="s">
        <v>42</v>
      </c>
    </row>
    <row r="80" spans="1:10" hidden="1" x14ac:dyDescent="0.35">
      <c r="A80" t="s">
        <v>40</v>
      </c>
      <c r="B80" t="s">
        <v>41</v>
      </c>
      <c r="C80">
        <v>2021</v>
      </c>
      <c r="D80" t="s">
        <v>22</v>
      </c>
      <c r="E80" t="s">
        <v>23</v>
      </c>
      <c r="F80">
        <v>12275.22</v>
      </c>
      <c r="G80">
        <v>11826.9</v>
      </c>
      <c r="H80">
        <v>448.32</v>
      </c>
      <c r="J80" t="s">
        <v>42</v>
      </c>
    </row>
    <row r="81" spans="1:10" hidden="1" x14ac:dyDescent="0.35">
      <c r="A81" t="s">
        <v>40</v>
      </c>
      <c r="B81" t="s">
        <v>41</v>
      </c>
      <c r="C81">
        <v>2021</v>
      </c>
      <c r="D81" t="s">
        <v>24</v>
      </c>
      <c r="E81" t="s">
        <v>13</v>
      </c>
      <c r="F81">
        <v>4059.63</v>
      </c>
      <c r="G81">
        <v>3857.04</v>
      </c>
      <c r="H81">
        <v>202.59</v>
      </c>
      <c r="J81" t="s">
        <v>42</v>
      </c>
    </row>
    <row r="82" spans="1:10" hidden="1" x14ac:dyDescent="0.35">
      <c r="A82" t="s">
        <v>40</v>
      </c>
      <c r="B82" t="s">
        <v>41</v>
      </c>
      <c r="C82">
        <v>2021</v>
      </c>
      <c r="D82" t="s">
        <v>25</v>
      </c>
      <c r="E82" t="s">
        <v>13</v>
      </c>
      <c r="F82">
        <v>6191.31</v>
      </c>
      <c r="G82">
        <v>5824.56</v>
      </c>
      <c r="H82">
        <v>366.75</v>
      </c>
      <c r="J82" t="s">
        <v>42</v>
      </c>
    </row>
    <row r="83" spans="1:10" hidden="1" x14ac:dyDescent="0.35">
      <c r="A83" t="s">
        <v>40</v>
      </c>
      <c r="B83" t="s">
        <v>41</v>
      </c>
      <c r="C83">
        <v>2021</v>
      </c>
      <c r="D83" t="s">
        <v>26</v>
      </c>
      <c r="E83" t="s">
        <v>17</v>
      </c>
      <c r="F83">
        <v>4834.1099999999997</v>
      </c>
      <c r="G83">
        <v>5173.79</v>
      </c>
      <c r="H83">
        <v>-339.68</v>
      </c>
      <c r="J83" t="s">
        <v>42</v>
      </c>
    </row>
    <row r="84" spans="1:10" hidden="1" x14ac:dyDescent="0.35">
      <c r="A84" t="s">
        <v>40</v>
      </c>
      <c r="B84" t="s">
        <v>41</v>
      </c>
      <c r="C84">
        <v>2021</v>
      </c>
      <c r="D84" t="s">
        <v>27</v>
      </c>
      <c r="E84" t="s">
        <v>13</v>
      </c>
      <c r="F84">
        <v>7440.15</v>
      </c>
      <c r="G84">
        <v>7202.31</v>
      </c>
      <c r="H84">
        <v>237.84</v>
      </c>
      <c r="J84" t="s">
        <v>42</v>
      </c>
    </row>
    <row r="85" spans="1:10" hidden="1" x14ac:dyDescent="0.35">
      <c r="A85" t="s">
        <v>40</v>
      </c>
      <c r="B85" t="s">
        <v>41</v>
      </c>
      <c r="C85">
        <v>2021</v>
      </c>
      <c r="D85" t="s">
        <v>28</v>
      </c>
      <c r="E85" t="s">
        <v>20</v>
      </c>
      <c r="F85">
        <v>10621.33</v>
      </c>
      <c r="G85">
        <v>9221.9599999999991</v>
      </c>
      <c r="H85">
        <v>1399.37</v>
      </c>
      <c r="J85" t="s">
        <v>42</v>
      </c>
    </row>
    <row r="86" spans="1:10" x14ac:dyDescent="0.35">
      <c r="A86" t="s">
        <v>43</v>
      </c>
      <c r="B86" t="s">
        <v>44</v>
      </c>
      <c r="C86">
        <v>2021</v>
      </c>
      <c r="D86" t="s">
        <v>12</v>
      </c>
      <c r="E86" t="s">
        <v>13</v>
      </c>
      <c r="F86">
        <v>74622.67</v>
      </c>
      <c r="G86">
        <v>79411.070000000007</v>
      </c>
      <c r="H86">
        <v>-4788.3999999999996</v>
      </c>
      <c r="J86" t="s">
        <v>42</v>
      </c>
    </row>
    <row r="87" spans="1:10" hidden="1" x14ac:dyDescent="0.35">
      <c r="A87" t="s">
        <v>43</v>
      </c>
      <c r="B87" t="s">
        <v>44</v>
      </c>
      <c r="C87">
        <v>2021</v>
      </c>
      <c r="D87" t="s">
        <v>15</v>
      </c>
      <c r="E87" t="s">
        <v>15</v>
      </c>
      <c r="F87">
        <v>13646.87</v>
      </c>
      <c r="G87">
        <v>14599.72</v>
      </c>
      <c r="H87">
        <v>-952.85</v>
      </c>
      <c r="J87" t="s">
        <v>42</v>
      </c>
    </row>
    <row r="88" spans="1:10" hidden="1" x14ac:dyDescent="0.35">
      <c r="A88" t="s">
        <v>43</v>
      </c>
      <c r="B88" t="s">
        <v>44</v>
      </c>
      <c r="C88">
        <v>2021</v>
      </c>
      <c r="D88" t="s">
        <v>16</v>
      </c>
      <c r="E88" t="s">
        <v>17</v>
      </c>
      <c r="F88">
        <v>20498.32</v>
      </c>
      <c r="G88">
        <v>19953.740000000002</v>
      </c>
      <c r="H88">
        <v>544.58000000000004</v>
      </c>
      <c r="J88" t="s">
        <v>42</v>
      </c>
    </row>
    <row r="89" spans="1:10" hidden="1" x14ac:dyDescent="0.35">
      <c r="A89" t="s">
        <v>43</v>
      </c>
      <c r="B89" t="s">
        <v>44</v>
      </c>
      <c r="C89">
        <v>2021</v>
      </c>
      <c r="D89" t="s">
        <v>18</v>
      </c>
      <c r="E89" t="s">
        <v>17</v>
      </c>
      <c r="F89">
        <v>5375.12</v>
      </c>
      <c r="G89">
        <v>5041.5</v>
      </c>
      <c r="H89">
        <v>333.62</v>
      </c>
      <c r="J89" t="s">
        <v>42</v>
      </c>
    </row>
    <row r="90" spans="1:10" hidden="1" x14ac:dyDescent="0.35">
      <c r="A90" t="s">
        <v>43</v>
      </c>
      <c r="B90" t="s">
        <v>44</v>
      </c>
      <c r="C90">
        <v>2021</v>
      </c>
      <c r="D90" t="s">
        <v>19</v>
      </c>
      <c r="E90" t="s">
        <v>20</v>
      </c>
      <c r="F90">
        <v>13400.62</v>
      </c>
      <c r="G90">
        <v>12004.68</v>
      </c>
      <c r="H90">
        <v>1395.94</v>
      </c>
      <c r="J90" t="s">
        <v>42</v>
      </c>
    </row>
    <row r="91" spans="1:10" hidden="1" x14ac:dyDescent="0.35">
      <c r="A91" t="s">
        <v>43</v>
      </c>
      <c r="B91" t="s">
        <v>44</v>
      </c>
      <c r="C91">
        <v>2021</v>
      </c>
      <c r="D91" t="s">
        <v>21</v>
      </c>
      <c r="E91" t="s">
        <v>13</v>
      </c>
      <c r="F91">
        <v>3623.84</v>
      </c>
      <c r="G91">
        <v>2976.18</v>
      </c>
      <c r="H91">
        <v>647.66</v>
      </c>
      <c r="J91" t="s">
        <v>42</v>
      </c>
    </row>
    <row r="92" spans="1:10" hidden="1" x14ac:dyDescent="0.35">
      <c r="A92" t="s">
        <v>43</v>
      </c>
      <c r="B92" t="s">
        <v>44</v>
      </c>
      <c r="C92">
        <v>2021</v>
      </c>
      <c r="D92" t="s">
        <v>22</v>
      </c>
      <c r="E92" t="s">
        <v>23</v>
      </c>
      <c r="F92">
        <v>10627.8</v>
      </c>
      <c r="G92">
        <v>11410.22</v>
      </c>
      <c r="H92">
        <v>-782.43</v>
      </c>
      <c r="J92" t="s">
        <v>42</v>
      </c>
    </row>
    <row r="93" spans="1:10" hidden="1" x14ac:dyDescent="0.35">
      <c r="A93" t="s">
        <v>43</v>
      </c>
      <c r="B93" t="s">
        <v>44</v>
      </c>
      <c r="C93">
        <v>2021</v>
      </c>
      <c r="D93" t="s">
        <v>24</v>
      </c>
      <c r="E93" t="s">
        <v>13</v>
      </c>
      <c r="F93">
        <v>4020.92</v>
      </c>
      <c r="G93">
        <v>3871.49</v>
      </c>
      <c r="H93">
        <v>149.43</v>
      </c>
      <c r="J93" t="s">
        <v>42</v>
      </c>
    </row>
    <row r="94" spans="1:10" hidden="1" x14ac:dyDescent="0.35">
      <c r="A94" t="s">
        <v>43</v>
      </c>
      <c r="B94" t="s">
        <v>44</v>
      </c>
      <c r="C94">
        <v>2021</v>
      </c>
      <c r="D94" t="s">
        <v>25</v>
      </c>
      <c r="E94" t="s">
        <v>13</v>
      </c>
      <c r="F94">
        <v>6300.2</v>
      </c>
      <c r="G94">
        <v>5959.78</v>
      </c>
      <c r="H94">
        <v>340.42</v>
      </c>
      <c r="J94" t="s">
        <v>42</v>
      </c>
    </row>
    <row r="95" spans="1:10" hidden="1" x14ac:dyDescent="0.35">
      <c r="A95" t="s">
        <v>43</v>
      </c>
      <c r="B95" t="s">
        <v>44</v>
      </c>
      <c r="C95">
        <v>2021</v>
      </c>
      <c r="D95" t="s">
        <v>26</v>
      </c>
      <c r="E95" t="s">
        <v>17</v>
      </c>
      <c r="F95">
        <v>5041.4399999999996</v>
      </c>
      <c r="G95">
        <v>5070.99</v>
      </c>
      <c r="H95">
        <v>-29.55</v>
      </c>
      <c r="J95" t="s">
        <v>42</v>
      </c>
    </row>
    <row r="96" spans="1:10" hidden="1" x14ac:dyDescent="0.35">
      <c r="A96" t="s">
        <v>43</v>
      </c>
      <c r="B96" t="s">
        <v>44</v>
      </c>
      <c r="C96">
        <v>2021</v>
      </c>
      <c r="D96" t="s">
        <v>27</v>
      </c>
      <c r="E96" t="s">
        <v>13</v>
      </c>
      <c r="F96">
        <v>5995.41</v>
      </c>
      <c r="G96">
        <v>6822.17</v>
      </c>
      <c r="H96">
        <v>-826.76</v>
      </c>
      <c r="J96" t="s">
        <v>42</v>
      </c>
    </row>
    <row r="97" spans="1:10" hidden="1" x14ac:dyDescent="0.35">
      <c r="A97" t="s">
        <v>43</v>
      </c>
      <c r="B97" t="s">
        <v>44</v>
      </c>
      <c r="C97">
        <v>2021</v>
      </c>
      <c r="D97" t="s">
        <v>28</v>
      </c>
      <c r="E97" t="s">
        <v>20</v>
      </c>
      <c r="F97">
        <v>9487.7900000000009</v>
      </c>
      <c r="G97">
        <v>8879.44</v>
      </c>
      <c r="H97">
        <v>608.35</v>
      </c>
      <c r="J97" t="s">
        <v>42</v>
      </c>
    </row>
    <row r="98" spans="1:10" x14ac:dyDescent="0.35">
      <c r="A98" t="s">
        <v>45</v>
      </c>
      <c r="B98" t="s">
        <v>46</v>
      </c>
      <c r="C98">
        <v>2021</v>
      </c>
      <c r="D98" t="s">
        <v>12</v>
      </c>
      <c r="E98" t="s">
        <v>13</v>
      </c>
      <c r="F98">
        <v>72489.89</v>
      </c>
      <c r="G98">
        <v>80513.820000000007</v>
      </c>
      <c r="H98">
        <v>-8023.94</v>
      </c>
      <c r="J98" t="s">
        <v>42</v>
      </c>
    </row>
    <row r="99" spans="1:10" hidden="1" x14ac:dyDescent="0.35">
      <c r="A99" t="s">
        <v>45</v>
      </c>
      <c r="B99" t="s">
        <v>46</v>
      </c>
      <c r="C99">
        <v>2021</v>
      </c>
      <c r="D99" t="s">
        <v>15</v>
      </c>
      <c r="E99" t="s">
        <v>15</v>
      </c>
      <c r="F99">
        <v>15542.71</v>
      </c>
      <c r="G99">
        <v>15077.93</v>
      </c>
      <c r="H99">
        <v>464.78</v>
      </c>
      <c r="J99" t="s">
        <v>42</v>
      </c>
    </row>
    <row r="100" spans="1:10" hidden="1" x14ac:dyDescent="0.35">
      <c r="A100" t="s">
        <v>45</v>
      </c>
      <c r="B100" t="s">
        <v>46</v>
      </c>
      <c r="C100">
        <v>2021</v>
      </c>
      <c r="D100" t="s">
        <v>16</v>
      </c>
      <c r="E100" t="s">
        <v>17</v>
      </c>
      <c r="F100">
        <v>19709.12</v>
      </c>
      <c r="G100">
        <v>19469.689999999999</v>
      </c>
      <c r="H100">
        <v>239.44</v>
      </c>
      <c r="J100" t="s">
        <v>42</v>
      </c>
    </row>
    <row r="101" spans="1:10" hidden="1" x14ac:dyDescent="0.35">
      <c r="A101" t="s">
        <v>45</v>
      </c>
      <c r="B101" t="s">
        <v>46</v>
      </c>
      <c r="C101">
        <v>2021</v>
      </c>
      <c r="D101" t="s">
        <v>18</v>
      </c>
      <c r="E101" t="s">
        <v>17</v>
      </c>
      <c r="F101">
        <v>4550.74</v>
      </c>
      <c r="G101">
        <v>5008.7299999999996</v>
      </c>
      <c r="H101">
        <v>-457.99</v>
      </c>
      <c r="J101" t="s">
        <v>42</v>
      </c>
    </row>
    <row r="102" spans="1:10" hidden="1" x14ac:dyDescent="0.35">
      <c r="A102" t="s">
        <v>45</v>
      </c>
      <c r="B102" t="s">
        <v>46</v>
      </c>
      <c r="C102">
        <v>2021</v>
      </c>
      <c r="D102" t="s">
        <v>19</v>
      </c>
      <c r="E102" t="s">
        <v>20</v>
      </c>
      <c r="F102">
        <v>12672.94</v>
      </c>
      <c r="G102">
        <v>12128.8</v>
      </c>
      <c r="H102">
        <v>544.13</v>
      </c>
      <c r="J102" t="s">
        <v>42</v>
      </c>
    </row>
    <row r="103" spans="1:10" hidden="1" x14ac:dyDescent="0.35">
      <c r="A103" t="s">
        <v>45</v>
      </c>
      <c r="B103" t="s">
        <v>46</v>
      </c>
      <c r="C103">
        <v>2021</v>
      </c>
      <c r="D103" t="s">
        <v>21</v>
      </c>
      <c r="E103" t="s">
        <v>13</v>
      </c>
      <c r="F103">
        <v>3358.6</v>
      </c>
      <c r="G103">
        <v>3097.47</v>
      </c>
      <c r="H103">
        <v>261.13</v>
      </c>
      <c r="J103" t="s">
        <v>42</v>
      </c>
    </row>
    <row r="104" spans="1:10" hidden="1" x14ac:dyDescent="0.35">
      <c r="A104" t="s">
        <v>45</v>
      </c>
      <c r="B104" t="s">
        <v>46</v>
      </c>
      <c r="C104">
        <v>2021</v>
      </c>
      <c r="D104" t="s">
        <v>22</v>
      </c>
      <c r="E104" t="s">
        <v>23</v>
      </c>
      <c r="F104">
        <v>7093.96</v>
      </c>
      <c r="G104">
        <v>7669.36</v>
      </c>
      <c r="H104">
        <v>-575.4</v>
      </c>
      <c r="J104" t="s">
        <v>42</v>
      </c>
    </row>
    <row r="105" spans="1:10" hidden="1" x14ac:dyDescent="0.35">
      <c r="A105" t="s">
        <v>45</v>
      </c>
      <c r="B105" t="s">
        <v>46</v>
      </c>
      <c r="C105">
        <v>2021</v>
      </c>
      <c r="D105" t="s">
        <v>24</v>
      </c>
      <c r="E105" t="s">
        <v>13</v>
      </c>
      <c r="F105">
        <v>4228.76</v>
      </c>
      <c r="G105">
        <v>4061.8</v>
      </c>
      <c r="H105">
        <v>166.95</v>
      </c>
      <c r="J105" t="s">
        <v>42</v>
      </c>
    </row>
    <row r="106" spans="1:10" hidden="1" x14ac:dyDescent="0.35">
      <c r="A106" t="s">
        <v>45</v>
      </c>
      <c r="B106" t="s">
        <v>46</v>
      </c>
      <c r="C106">
        <v>2021</v>
      </c>
      <c r="D106" t="s">
        <v>25</v>
      </c>
      <c r="E106" t="s">
        <v>13</v>
      </c>
      <c r="F106">
        <v>7970.59</v>
      </c>
      <c r="G106">
        <v>6092.71</v>
      </c>
      <c r="H106">
        <v>1877.89</v>
      </c>
      <c r="J106" t="s">
        <v>42</v>
      </c>
    </row>
    <row r="107" spans="1:10" hidden="1" x14ac:dyDescent="0.35">
      <c r="A107" t="s">
        <v>45</v>
      </c>
      <c r="B107" t="s">
        <v>46</v>
      </c>
      <c r="C107">
        <v>2021</v>
      </c>
      <c r="D107" t="s">
        <v>26</v>
      </c>
      <c r="E107" t="s">
        <v>17</v>
      </c>
      <c r="F107">
        <v>5547.64</v>
      </c>
      <c r="G107">
        <v>5085.63</v>
      </c>
      <c r="H107">
        <v>462.01</v>
      </c>
      <c r="J107" t="s">
        <v>42</v>
      </c>
    </row>
    <row r="108" spans="1:10" hidden="1" x14ac:dyDescent="0.35">
      <c r="A108" t="s">
        <v>45</v>
      </c>
      <c r="B108" t="s">
        <v>46</v>
      </c>
      <c r="C108">
        <v>2021</v>
      </c>
      <c r="D108" t="s">
        <v>27</v>
      </c>
      <c r="E108" t="s">
        <v>13</v>
      </c>
      <c r="F108">
        <v>7575.56</v>
      </c>
      <c r="G108">
        <v>7200.34</v>
      </c>
      <c r="H108">
        <v>375.22</v>
      </c>
      <c r="J108" t="s">
        <v>42</v>
      </c>
    </row>
    <row r="109" spans="1:10" hidden="1" x14ac:dyDescent="0.35">
      <c r="A109" t="s">
        <v>45</v>
      </c>
      <c r="B109" t="s">
        <v>46</v>
      </c>
      <c r="C109">
        <v>2021</v>
      </c>
      <c r="D109" t="s">
        <v>28</v>
      </c>
      <c r="E109" t="s">
        <v>20</v>
      </c>
      <c r="F109">
        <v>9456.17</v>
      </c>
      <c r="G109">
        <v>8914.8799999999992</v>
      </c>
      <c r="H109">
        <v>541.29</v>
      </c>
      <c r="J109" t="s">
        <v>42</v>
      </c>
    </row>
    <row r="110" spans="1:10" x14ac:dyDescent="0.35">
      <c r="A110" t="s">
        <v>47</v>
      </c>
      <c r="B110" t="s">
        <v>48</v>
      </c>
      <c r="C110">
        <v>2021</v>
      </c>
      <c r="D110" t="s">
        <v>12</v>
      </c>
      <c r="E110" t="s">
        <v>13</v>
      </c>
      <c r="F110">
        <v>76664.72</v>
      </c>
      <c r="G110">
        <v>78145.22</v>
      </c>
      <c r="H110">
        <v>-1480.5</v>
      </c>
      <c r="J110" t="s">
        <v>49</v>
      </c>
    </row>
    <row r="111" spans="1:10" hidden="1" x14ac:dyDescent="0.35">
      <c r="A111" t="s">
        <v>47</v>
      </c>
      <c r="B111" t="s">
        <v>48</v>
      </c>
      <c r="C111">
        <v>2021</v>
      </c>
      <c r="D111" t="s">
        <v>15</v>
      </c>
      <c r="E111" t="s">
        <v>15</v>
      </c>
      <c r="F111">
        <v>19341.93</v>
      </c>
      <c r="G111">
        <v>19216.060000000001</v>
      </c>
      <c r="H111">
        <v>125.86</v>
      </c>
      <c r="J111" t="s">
        <v>49</v>
      </c>
    </row>
    <row r="112" spans="1:10" hidden="1" x14ac:dyDescent="0.35">
      <c r="A112" t="s">
        <v>47</v>
      </c>
      <c r="B112" t="s">
        <v>48</v>
      </c>
      <c r="C112">
        <v>2021</v>
      </c>
      <c r="D112" t="s">
        <v>16</v>
      </c>
      <c r="E112" t="s">
        <v>17</v>
      </c>
      <c r="F112">
        <v>18193.71</v>
      </c>
      <c r="G112">
        <v>21388.799999999999</v>
      </c>
      <c r="H112">
        <v>-3195.08</v>
      </c>
      <c r="J112" t="s">
        <v>49</v>
      </c>
    </row>
    <row r="113" spans="1:10" hidden="1" x14ac:dyDescent="0.35">
      <c r="A113" t="s">
        <v>47</v>
      </c>
      <c r="B113" t="s">
        <v>48</v>
      </c>
      <c r="C113">
        <v>2021</v>
      </c>
      <c r="D113" t="s">
        <v>18</v>
      </c>
      <c r="E113" t="s">
        <v>17</v>
      </c>
      <c r="F113">
        <v>4444.57</v>
      </c>
      <c r="G113">
        <v>5102.9399999999996</v>
      </c>
      <c r="H113">
        <v>-658.37</v>
      </c>
      <c r="J113" t="s">
        <v>49</v>
      </c>
    </row>
    <row r="114" spans="1:10" hidden="1" x14ac:dyDescent="0.35">
      <c r="A114" t="s">
        <v>47</v>
      </c>
      <c r="B114" t="s">
        <v>48</v>
      </c>
      <c r="C114">
        <v>2021</v>
      </c>
      <c r="D114" t="s">
        <v>19</v>
      </c>
      <c r="E114" t="s">
        <v>20</v>
      </c>
      <c r="F114">
        <v>12860.7</v>
      </c>
      <c r="G114">
        <v>11830.1</v>
      </c>
      <c r="H114">
        <v>1030.5899999999999</v>
      </c>
      <c r="J114" t="s">
        <v>49</v>
      </c>
    </row>
    <row r="115" spans="1:10" hidden="1" x14ac:dyDescent="0.35">
      <c r="A115" t="s">
        <v>47</v>
      </c>
      <c r="B115" t="s">
        <v>48</v>
      </c>
      <c r="C115">
        <v>2021</v>
      </c>
      <c r="D115" t="s">
        <v>21</v>
      </c>
      <c r="E115" t="s">
        <v>13</v>
      </c>
      <c r="F115">
        <v>2746.63</v>
      </c>
      <c r="G115">
        <v>3005.79</v>
      </c>
      <c r="H115">
        <v>-259.16000000000003</v>
      </c>
      <c r="J115" t="s">
        <v>49</v>
      </c>
    </row>
    <row r="116" spans="1:10" hidden="1" x14ac:dyDescent="0.35">
      <c r="A116" t="s">
        <v>47</v>
      </c>
      <c r="B116" t="s">
        <v>48</v>
      </c>
      <c r="C116">
        <v>2021</v>
      </c>
      <c r="D116" t="s">
        <v>22</v>
      </c>
      <c r="E116" t="s">
        <v>23</v>
      </c>
      <c r="F116">
        <v>8253.94</v>
      </c>
      <c r="G116">
        <v>7828.33</v>
      </c>
      <c r="H116">
        <v>425.61</v>
      </c>
      <c r="J116" t="s">
        <v>49</v>
      </c>
    </row>
    <row r="117" spans="1:10" hidden="1" x14ac:dyDescent="0.35">
      <c r="A117" t="s">
        <v>47</v>
      </c>
      <c r="B117" t="s">
        <v>48</v>
      </c>
      <c r="C117">
        <v>2021</v>
      </c>
      <c r="D117" t="s">
        <v>24</v>
      </c>
      <c r="E117" t="s">
        <v>13</v>
      </c>
      <c r="F117">
        <v>3980.11</v>
      </c>
      <c r="G117">
        <v>3912.36</v>
      </c>
      <c r="H117">
        <v>67.75</v>
      </c>
      <c r="J117" t="s">
        <v>49</v>
      </c>
    </row>
    <row r="118" spans="1:10" hidden="1" x14ac:dyDescent="0.35">
      <c r="A118" t="s">
        <v>47</v>
      </c>
      <c r="B118" t="s">
        <v>48</v>
      </c>
      <c r="C118">
        <v>2021</v>
      </c>
      <c r="D118" t="s">
        <v>25</v>
      </c>
      <c r="E118" t="s">
        <v>13</v>
      </c>
      <c r="F118">
        <v>5695.01</v>
      </c>
      <c r="G118">
        <v>6008.2</v>
      </c>
      <c r="H118">
        <v>-313.2</v>
      </c>
      <c r="J118" t="s">
        <v>49</v>
      </c>
    </row>
    <row r="119" spans="1:10" hidden="1" x14ac:dyDescent="0.35">
      <c r="A119" t="s">
        <v>47</v>
      </c>
      <c r="B119" t="s">
        <v>48</v>
      </c>
      <c r="C119">
        <v>2021</v>
      </c>
      <c r="D119" t="s">
        <v>26</v>
      </c>
      <c r="E119" t="s">
        <v>17</v>
      </c>
      <c r="F119">
        <v>5591.47</v>
      </c>
      <c r="G119">
        <v>5321.59</v>
      </c>
      <c r="H119">
        <v>269.88</v>
      </c>
      <c r="J119" t="s">
        <v>49</v>
      </c>
    </row>
    <row r="120" spans="1:10" hidden="1" x14ac:dyDescent="0.35">
      <c r="A120" t="s">
        <v>47</v>
      </c>
      <c r="B120" t="s">
        <v>48</v>
      </c>
      <c r="C120">
        <v>2021</v>
      </c>
      <c r="D120" t="s">
        <v>27</v>
      </c>
      <c r="E120" t="s">
        <v>13</v>
      </c>
      <c r="F120">
        <v>6672.79</v>
      </c>
      <c r="G120">
        <v>6574.72</v>
      </c>
      <c r="H120">
        <v>98.07</v>
      </c>
      <c r="J120" t="s">
        <v>49</v>
      </c>
    </row>
    <row r="121" spans="1:10" hidden="1" x14ac:dyDescent="0.35">
      <c r="A121" t="s">
        <v>47</v>
      </c>
      <c r="B121" t="s">
        <v>48</v>
      </c>
      <c r="C121">
        <v>2021</v>
      </c>
      <c r="D121" t="s">
        <v>28</v>
      </c>
      <c r="E121" t="s">
        <v>20</v>
      </c>
      <c r="F121">
        <v>9422.8799999999992</v>
      </c>
      <c r="G121">
        <v>8821.32</v>
      </c>
      <c r="H121">
        <v>601.57000000000005</v>
      </c>
      <c r="J121" t="s">
        <v>49</v>
      </c>
    </row>
    <row r="122" spans="1:10" x14ac:dyDescent="0.35">
      <c r="A122" t="s">
        <v>50</v>
      </c>
      <c r="B122" t="s">
        <v>51</v>
      </c>
      <c r="C122">
        <v>2021</v>
      </c>
      <c r="D122" t="s">
        <v>12</v>
      </c>
      <c r="E122" t="s">
        <v>13</v>
      </c>
      <c r="F122">
        <v>77381.100000000006</v>
      </c>
      <c r="G122">
        <v>78097.95</v>
      </c>
      <c r="H122">
        <v>-716.85</v>
      </c>
      <c r="J122" t="s">
        <v>49</v>
      </c>
    </row>
    <row r="123" spans="1:10" hidden="1" x14ac:dyDescent="0.35">
      <c r="A123" t="s">
        <v>50</v>
      </c>
      <c r="B123" t="s">
        <v>51</v>
      </c>
      <c r="C123">
        <v>2021</v>
      </c>
      <c r="D123" t="s">
        <v>15</v>
      </c>
      <c r="E123" t="s">
        <v>15</v>
      </c>
      <c r="F123">
        <v>21166.46</v>
      </c>
      <c r="G123">
        <v>19795.419999999998</v>
      </c>
      <c r="H123">
        <v>1371.04</v>
      </c>
      <c r="J123" t="s">
        <v>49</v>
      </c>
    </row>
    <row r="124" spans="1:10" hidden="1" x14ac:dyDescent="0.35">
      <c r="A124" t="s">
        <v>50</v>
      </c>
      <c r="B124" t="s">
        <v>51</v>
      </c>
      <c r="C124">
        <v>2021</v>
      </c>
      <c r="D124" t="s">
        <v>16</v>
      </c>
      <c r="E124" t="s">
        <v>17</v>
      </c>
      <c r="F124">
        <v>18763.89</v>
      </c>
      <c r="G124">
        <v>19279.82</v>
      </c>
      <c r="H124">
        <v>-515.92999999999995</v>
      </c>
      <c r="J124" t="s">
        <v>49</v>
      </c>
    </row>
    <row r="125" spans="1:10" hidden="1" x14ac:dyDescent="0.35">
      <c r="A125" t="s">
        <v>50</v>
      </c>
      <c r="B125" t="s">
        <v>51</v>
      </c>
      <c r="C125">
        <v>2021</v>
      </c>
      <c r="D125" t="s">
        <v>18</v>
      </c>
      <c r="E125" t="s">
        <v>17</v>
      </c>
      <c r="F125">
        <v>4671.1499999999996</v>
      </c>
      <c r="G125">
        <v>4928.76</v>
      </c>
      <c r="H125">
        <v>-257.61</v>
      </c>
      <c r="J125" t="s">
        <v>49</v>
      </c>
    </row>
    <row r="126" spans="1:10" hidden="1" x14ac:dyDescent="0.35">
      <c r="A126" t="s">
        <v>50</v>
      </c>
      <c r="B126" t="s">
        <v>51</v>
      </c>
      <c r="C126">
        <v>2021</v>
      </c>
      <c r="D126" t="s">
        <v>19</v>
      </c>
      <c r="E126" t="s">
        <v>20</v>
      </c>
      <c r="F126">
        <v>13044.94</v>
      </c>
      <c r="G126">
        <v>12635.56</v>
      </c>
      <c r="H126">
        <v>409.37</v>
      </c>
      <c r="J126" t="s">
        <v>49</v>
      </c>
    </row>
    <row r="127" spans="1:10" hidden="1" x14ac:dyDescent="0.35">
      <c r="A127" t="s">
        <v>50</v>
      </c>
      <c r="B127" t="s">
        <v>51</v>
      </c>
      <c r="C127">
        <v>2021</v>
      </c>
      <c r="D127" t="s">
        <v>21</v>
      </c>
      <c r="E127" t="s">
        <v>13</v>
      </c>
      <c r="F127">
        <v>3098.47</v>
      </c>
      <c r="G127">
        <v>2886.52</v>
      </c>
      <c r="H127">
        <v>211.95</v>
      </c>
      <c r="J127" t="s">
        <v>49</v>
      </c>
    </row>
    <row r="128" spans="1:10" hidden="1" x14ac:dyDescent="0.35">
      <c r="A128" t="s">
        <v>50</v>
      </c>
      <c r="B128" t="s">
        <v>51</v>
      </c>
      <c r="C128">
        <v>2021</v>
      </c>
      <c r="D128" t="s">
        <v>22</v>
      </c>
      <c r="E128" t="s">
        <v>23</v>
      </c>
      <c r="F128">
        <v>9212.16</v>
      </c>
      <c r="G128">
        <v>8509.32</v>
      </c>
      <c r="H128">
        <v>702.85</v>
      </c>
      <c r="J128" t="s">
        <v>49</v>
      </c>
    </row>
    <row r="129" spans="1:10" hidden="1" x14ac:dyDescent="0.35">
      <c r="A129" t="s">
        <v>50</v>
      </c>
      <c r="B129" t="s">
        <v>51</v>
      </c>
      <c r="C129">
        <v>2021</v>
      </c>
      <c r="D129" t="s">
        <v>24</v>
      </c>
      <c r="E129" t="s">
        <v>13</v>
      </c>
      <c r="F129">
        <v>3669.78</v>
      </c>
      <c r="G129">
        <v>3817.68</v>
      </c>
      <c r="H129">
        <v>-147.88999999999999</v>
      </c>
      <c r="J129" t="s">
        <v>49</v>
      </c>
    </row>
    <row r="130" spans="1:10" hidden="1" x14ac:dyDescent="0.35">
      <c r="A130" t="s">
        <v>50</v>
      </c>
      <c r="B130" t="s">
        <v>51</v>
      </c>
      <c r="C130">
        <v>2021</v>
      </c>
      <c r="D130" t="s">
        <v>25</v>
      </c>
      <c r="E130" t="s">
        <v>13</v>
      </c>
      <c r="F130">
        <v>5875.45</v>
      </c>
      <c r="G130">
        <v>6228.04</v>
      </c>
      <c r="H130">
        <v>-352.59</v>
      </c>
      <c r="J130" t="s">
        <v>49</v>
      </c>
    </row>
    <row r="131" spans="1:10" hidden="1" x14ac:dyDescent="0.35">
      <c r="A131" t="s">
        <v>50</v>
      </c>
      <c r="B131" t="s">
        <v>51</v>
      </c>
      <c r="C131">
        <v>2021</v>
      </c>
      <c r="D131" t="s">
        <v>26</v>
      </c>
      <c r="E131" t="s">
        <v>17</v>
      </c>
      <c r="F131">
        <v>5380.55</v>
      </c>
      <c r="G131">
        <v>5066.57</v>
      </c>
      <c r="H131">
        <v>313.98</v>
      </c>
      <c r="J131" t="s">
        <v>49</v>
      </c>
    </row>
    <row r="132" spans="1:10" hidden="1" x14ac:dyDescent="0.35">
      <c r="A132" t="s">
        <v>50</v>
      </c>
      <c r="B132" t="s">
        <v>51</v>
      </c>
      <c r="C132">
        <v>2021</v>
      </c>
      <c r="D132" t="s">
        <v>27</v>
      </c>
      <c r="E132" t="s">
        <v>13</v>
      </c>
      <c r="F132">
        <v>6772.94</v>
      </c>
      <c r="G132">
        <v>6805.34</v>
      </c>
      <c r="H132">
        <v>-32.409999999999997</v>
      </c>
      <c r="J132" t="s">
        <v>49</v>
      </c>
    </row>
    <row r="133" spans="1:10" hidden="1" x14ac:dyDescent="0.35">
      <c r="A133" t="s">
        <v>50</v>
      </c>
      <c r="B133" t="s">
        <v>51</v>
      </c>
      <c r="C133">
        <v>2021</v>
      </c>
      <c r="D133" t="s">
        <v>28</v>
      </c>
      <c r="E133" t="s">
        <v>20</v>
      </c>
      <c r="F133">
        <v>7459.02</v>
      </c>
      <c r="G133">
        <v>8124.86</v>
      </c>
      <c r="H133">
        <v>-665.84</v>
      </c>
      <c r="J133" t="s">
        <v>49</v>
      </c>
    </row>
    <row r="134" spans="1:10" x14ac:dyDescent="0.35">
      <c r="A134" t="s">
        <v>52</v>
      </c>
      <c r="B134" t="s">
        <v>53</v>
      </c>
      <c r="C134">
        <v>2021</v>
      </c>
      <c r="D134" t="s">
        <v>12</v>
      </c>
      <c r="E134" t="s">
        <v>13</v>
      </c>
      <c r="F134">
        <v>71468.53</v>
      </c>
      <c r="G134">
        <v>79393.84</v>
      </c>
      <c r="H134">
        <v>-7925.3</v>
      </c>
      <c r="J134" t="s">
        <v>49</v>
      </c>
    </row>
    <row r="135" spans="1:10" hidden="1" x14ac:dyDescent="0.35">
      <c r="A135" t="s">
        <v>52</v>
      </c>
      <c r="B135" t="s">
        <v>53</v>
      </c>
      <c r="C135">
        <v>2021</v>
      </c>
      <c r="D135" t="s">
        <v>15</v>
      </c>
      <c r="E135" t="s">
        <v>15</v>
      </c>
      <c r="F135">
        <v>18114.68</v>
      </c>
      <c r="G135">
        <v>20454.96</v>
      </c>
      <c r="H135">
        <v>-2340.2800000000002</v>
      </c>
      <c r="J135" t="s">
        <v>49</v>
      </c>
    </row>
    <row r="136" spans="1:10" hidden="1" x14ac:dyDescent="0.35">
      <c r="A136" t="s">
        <v>52</v>
      </c>
      <c r="B136" t="s">
        <v>53</v>
      </c>
      <c r="C136">
        <v>2021</v>
      </c>
      <c r="D136" t="s">
        <v>16</v>
      </c>
      <c r="E136" t="s">
        <v>17</v>
      </c>
      <c r="F136">
        <v>19942.400000000001</v>
      </c>
      <c r="G136">
        <v>19735.97</v>
      </c>
      <c r="H136">
        <v>206.42</v>
      </c>
      <c r="J136" t="s">
        <v>49</v>
      </c>
    </row>
    <row r="137" spans="1:10" hidden="1" x14ac:dyDescent="0.35">
      <c r="A137" t="s">
        <v>52</v>
      </c>
      <c r="B137" t="s">
        <v>53</v>
      </c>
      <c r="C137">
        <v>2021</v>
      </c>
      <c r="D137" t="s">
        <v>18</v>
      </c>
      <c r="E137" t="s">
        <v>17</v>
      </c>
      <c r="F137">
        <v>5771.27</v>
      </c>
      <c r="G137">
        <v>6520.24</v>
      </c>
      <c r="H137">
        <v>-748.97</v>
      </c>
      <c r="J137" t="s">
        <v>49</v>
      </c>
    </row>
    <row r="138" spans="1:10" hidden="1" x14ac:dyDescent="0.35">
      <c r="A138" t="s">
        <v>52</v>
      </c>
      <c r="B138" t="s">
        <v>53</v>
      </c>
      <c r="C138">
        <v>2021</v>
      </c>
      <c r="D138" t="s">
        <v>19</v>
      </c>
      <c r="E138" t="s">
        <v>20</v>
      </c>
      <c r="F138">
        <v>12428.91</v>
      </c>
      <c r="G138">
        <v>12418.74</v>
      </c>
      <c r="H138">
        <v>10.17</v>
      </c>
      <c r="J138" t="s">
        <v>49</v>
      </c>
    </row>
    <row r="139" spans="1:10" hidden="1" x14ac:dyDescent="0.35">
      <c r="A139" t="s">
        <v>52</v>
      </c>
      <c r="B139" t="s">
        <v>53</v>
      </c>
      <c r="C139">
        <v>2021</v>
      </c>
      <c r="D139" t="s">
        <v>21</v>
      </c>
      <c r="E139" t="s">
        <v>13</v>
      </c>
      <c r="F139">
        <v>3019.3</v>
      </c>
      <c r="G139">
        <v>2911.66</v>
      </c>
      <c r="H139">
        <v>107.64</v>
      </c>
      <c r="J139" t="s">
        <v>49</v>
      </c>
    </row>
    <row r="140" spans="1:10" hidden="1" x14ac:dyDescent="0.35">
      <c r="A140" t="s">
        <v>52</v>
      </c>
      <c r="B140" t="s">
        <v>53</v>
      </c>
      <c r="C140">
        <v>2021</v>
      </c>
      <c r="D140" t="s">
        <v>22</v>
      </c>
      <c r="E140" t="s">
        <v>23</v>
      </c>
      <c r="F140">
        <v>7661.34</v>
      </c>
      <c r="G140">
        <v>8047.77</v>
      </c>
      <c r="H140">
        <v>-386.43</v>
      </c>
      <c r="J140" t="s">
        <v>49</v>
      </c>
    </row>
    <row r="141" spans="1:10" hidden="1" x14ac:dyDescent="0.35">
      <c r="A141" t="s">
        <v>52</v>
      </c>
      <c r="B141" t="s">
        <v>53</v>
      </c>
      <c r="C141">
        <v>2021</v>
      </c>
      <c r="D141" t="s">
        <v>24</v>
      </c>
      <c r="E141" t="s">
        <v>13</v>
      </c>
      <c r="F141">
        <v>3884.82</v>
      </c>
      <c r="G141">
        <v>4008.38</v>
      </c>
      <c r="H141">
        <v>-123.56</v>
      </c>
      <c r="J141" t="s">
        <v>49</v>
      </c>
    </row>
    <row r="142" spans="1:10" hidden="1" x14ac:dyDescent="0.35">
      <c r="A142" t="s">
        <v>52</v>
      </c>
      <c r="B142" t="s">
        <v>53</v>
      </c>
      <c r="C142">
        <v>2021</v>
      </c>
      <c r="D142" t="s">
        <v>25</v>
      </c>
      <c r="E142" t="s">
        <v>13</v>
      </c>
      <c r="F142">
        <v>6339.34</v>
      </c>
      <c r="G142">
        <v>6020.43</v>
      </c>
      <c r="H142">
        <v>318.91000000000003</v>
      </c>
      <c r="J142" t="s">
        <v>49</v>
      </c>
    </row>
    <row r="143" spans="1:10" hidden="1" x14ac:dyDescent="0.35">
      <c r="A143" t="s">
        <v>52</v>
      </c>
      <c r="B143" t="s">
        <v>53</v>
      </c>
      <c r="C143">
        <v>2021</v>
      </c>
      <c r="D143" t="s">
        <v>26</v>
      </c>
      <c r="E143" t="s">
        <v>17</v>
      </c>
      <c r="F143">
        <v>4719.22</v>
      </c>
      <c r="G143">
        <v>5237.8999999999996</v>
      </c>
      <c r="H143">
        <v>-518.67999999999995</v>
      </c>
      <c r="J143" t="s">
        <v>49</v>
      </c>
    </row>
    <row r="144" spans="1:10" hidden="1" x14ac:dyDescent="0.35">
      <c r="A144" t="s">
        <v>52</v>
      </c>
      <c r="B144" t="s">
        <v>53</v>
      </c>
      <c r="C144">
        <v>2021</v>
      </c>
      <c r="D144" t="s">
        <v>27</v>
      </c>
      <c r="E144" t="s">
        <v>13</v>
      </c>
      <c r="F144">
        <v>6284.81</v>
      </c>
      <c r="G144">
        <v>7447.94</v>
      </c>
      <c r="H144">
        <v>-1163.1199999999999</v>
      </c>
      <c r="J144" t="s">
        <v>49</v>
      </c>
    </row>
    <row r="145" spans="1:10" hidden="1" x14ac:dyDescent="0.35">
      <c r="A145" t="s">
        <v>52</v>
      </c>
      <c r="B145" t="s">
        <v>53</v>
      </c>
      <c r="C145">
        <v>2021</v>
      </c>
      <c r="D145" t="s">
        <v>28</v>
      </c>
      <c r="E145" t="s">
        <v>20</v>
      </c>
      <c r="F145">
        <v>9380.68</v>
      </c>
      <c r="G145">
        <v>8959.02</v>
      </c>
      <c r="H145">
        <v>421.66</v>
      </c>
      <c r="J145" t="s">
        <v>49</v>
      </c>
    </row>
    <row r="146" spans="1:10" x14ac:dyDescent="0.35">
      <c r="A146" t="s">
        <v>54</v>
      </c>
      <c r="B146" t="s">
        <v>55</v>
      </c>
      <c r="C146">
        <v>2022</v>
      </c>
      <c r="D146" t="s">
        <v>12</v>
      </c>
      <c r="E146" t="s">
        <v>13</v>
      </c>
      <c r="F146">
        <v>80488.28</v>
      </c>
      <c r="G146">
        <v>84708.1</v>
      </c>
      <c r="H146">
        <v>-4219.82</v>
      </c>
      <c r="J146" t="s">
        <v>14</v>
      </c>
    </row>
    <row r="147" spans="1:10" hidden="1" x14ac:dyDescent="0.35">
      <c r="A147" t="s">
        <v>54</v>
      </c>
      <c r="B147" t="s">
        <v>55</v>
      </c>
      <c r="C147">
        <v>2022</v>
      </c>
      <c r="D147" t="s">
        <v>15</v>
      </c>
      <c r="E147" t="s">
        <v>15</v>
      </c>
      <c r="F147">
        <v>15034.36</v>
      </c>
      <c r="G147">
        <v>15651.66</v>
      </c>
      <c r="H147">
        <v>-617.29999999999995</v>
      </c>
      <c r="J147" t="s">
        <v>14</v>
      </c>
    </row>
    <row r="148" spans="1:10" hidden="1" x14ac:dyDescent="0.35">
      <c r="A148" t="s">
        <v>54</v>
      </c>
      <c r="B148" t="s">
        <v>55</v>
      </c>
      <c r="C148">
        <v>2022</v>
      </c>
      <c r="D148" t="s">
        <v>16</v>
      </c>
      <c r="E148" t="s">
        <v>17</v>
      </c>
      <c r="F148">
        <v>22030.799999999999</v>
      </c>
      <c r="G148">
        <v>20628.7</v>
      </c>
      <c r="H148">
        <v>1402.09</v>
      </c>
      <c r="J148" t="s">
        <v>14</v>
      </c>
    </row>
    <row r="149" spans="1:10" hidden="1" x14ac:dyDescent="0.35">
      <c r="A149" t="s">
        <v>54</v>
      </c>
      <c r="B149" t="s">
        <v>55</v>
      </c>
      <c r="C149">
        <v>2022</v>
      </c>
      <c r="D149" t="s">
        <v>18</v>
      </c>
      <c r="E149" t="s">
        <v>17</v>
      </c>
      <c r="F149">
        <v>6265.11</v>
      </c>
      <c r="G149">
        <v>6632.79</v>
      </c>
      <c r="H149">
        <v>-367.67</v>
      </c>
      <c r="J149" t="s">
        <v>14</v>
      </c>
    </row>
    <row r="150" spans="1:10" hidden="1" x14ac:dyDescent="0.35">
      <c r="A150" t="s">
        <v>54</v>
      </c>
      <c r="B150" t="s">
        <v>55</v>
      </c>
      <c r="C150">
        <v>2022</v>
      </c>
      <c r="D150" t="s">
        <v>19</v>
      </c>
      <c r="E150" t="s">
        <v>20</v>
      </c>
      <c r="F150">
        <v>13258.17</v>
      </c>
      <c r="G150">
        <v>12940.05</v>
      </c>
      <c r="H150">
        <v>318.12</v>
      </c>
      <c r="J150" t="s">
        <v>14</v>
      </c>
    </row>
    <row r="151" spans="1:10" hidden="1" x14ac:dyDescent="0.35">
      <c r="A151" t="s">
        <v>54</v>
      </c>
      <c r="B151" t="s">
        <v>55</v>
      </c>
      <c r="C151">
        <v>2022</v>
      </c>
      <c r="D151" t="s">
        <v>21</v>
      </c>
      <c r="E151" t="s">
        <v>13</v>
      </c>
      <c r="F151">
        <v>3389.35</v>
      </c>
      <c r="G151">
        <v>3226.82</v>
      </c>
      <c r="H151">
        <v>162.54</v>
      </c>
      <c r="J151" t="s">
        <v>14</v>
      </c>
    </row>
    <row r="152" spans="1:10" hidden="1" x14ac:dyDescent="0.35">
      <c r="A152" t="s">
        <v>54</v>
      </c>
      <c r="B152" t="s">
        <v>55</v>
      </c>
      <c r="C152">
        <v>2022</v>
      </c>
      <c r="D152" t="s">
        <v>22</v>
      </c>
      <c r="E152" t="s">
        <v>23</v>
      </c>
      <c r="F152">
        <v>7824.01</v>
      </c>
      <c r="G152">
        <v>8191.09</v>
      </c>
      <c r="H152">
        <v>-367.08</v>
      </c>
      <c r="J152" t="s">
        <v>14</v>
      </c>
    </row>
    <row r="153" spans="1:10" hidden="1" x14ac:dyDescent="0.35">
      <c r="A153" t="s">
        <v>54</v>
      </c>
      <c r="B153" t="s">
        <v>55</v>
      </c>
      <c r="C153">
        <v>2022</v>
      </c>
      <c r="D153" t="s">
        <v>24</v>
      </c>
      <c r="E153" t="s">
        <v>13</v>
      </c>
      <c r="F153">
        <v>4503.84</v>
      </c>
      <c r="G153">
        <v>4294.16</v>
      </c>
      <c r="H153">
        <v>209.68</v>
      </c>
      <c r="J153" t="s">
        <v>14</v>
      </c>
    </row>
    <row r="154" spans="1:10" hidden="1" x14ac:dyDescent="0.35">
      <c r="A154" t="s">
        <v>54</v>
      </c>
      <c r="B154" t="s">
        <v>55</v>
      </c>
      <c r="C154">
        <v>2022</v>
      </c>
      <c r="D154" t="s">
        <v>25</v>
      </c>
      <c r="E154" t="s">
        <v>13</v>
      </c>
      <c r="F154">
        <v>6355.15</v>
      </c>
      <c r="G154">
        <v>6296.05</v>
      </c>
      <c r="H154">
        <v>59.1</v>
      </c>
      <c r="J154" t="s">
        <v>14</v>
      </c>
    </row>
    <row r="155" spans="1:10" hidden="1" x14ac:dyDescent="0.35">
      <c r="A155" t="s">
        <v>54</v>
      </c>
      <c r="B155" t="s">
        <v>55</v>
      </c>
      <c r="C155">
        <v>2022</v>
      </c>
      <c r="D155" t="s">
        <v>26</v>
      </c>
      <c r="E155" t="s">
        <v>17</v>
      </c>
      <c r="F155">
        <v>5193.25</v>
      </c>
      <c r="G155">
        <v>5451.23</v>
      </c>
      <c r="H155">
        <v>-257.98</v>
      </c>
      <c r="J155" t="s">
        <v>14</v>
      </c>
    </row>
    <row r="156" spans="1:10" hidden="1" x14ac:dyDescent="0.35">
      <c r="A156" t="s">
        <v>54</v>
      </c>
      <c r="B156" t="s">
        <v>55</v>
      </c>
      <c r="C156">
        <v>2022</v>
      </c>
      <c r="D156" t="s">
        <v>27</v>
      </c>
      <c r="E156" t="s">
        <v>13</v>
      </c>
      <c r="F156">
        <v>7349.79</v>
      </c>
      <c r="G156">
        <v>7470.63</v>
      </c>
      <c r="H156">
        <v>-120.84</v>
      </c>
      <c r="J156" t="s">
        <v>14</v>
      </c>
    </row>
    <row r="157" spans="1:10" hidden="1" x14ac:dyDescent="0.35">
      <c r="A157" t="s">
        <v>54</v>
      </c>
      <c r="B157" t="s">
        <v>55</v>
      </c>
      <c r="C157">
        <v>2022</v>
      </c>
      <c r="D157" t="s">
        <v>28</v>
      </c>
      <c r="E157" t="s">
        <v>20</v>
      </c>
      <c r="F157">
        <v>10213.540000000001</v>
      </c>
      <c r="G157">
        <v>9388.2900000000009</v>
      </c>
      <c r="H157">
        <v>825.25</v>
      </c>
      <c r="J157" t="s">
        <v>14</v>
      </c>
    </row>
    <row r="158" spans="1:10" x14ac:dyDescent="0.35">
      <c r="A158" t="s">
        <v>56</v>
      </c>
      <c r="B158" t="s">
        <v>57</v>
      </c>
      <c r="C158">
        <v>2022</v>
      </c>
      <c r="D158" t="s">
        <v>12</v>
      </c>
      <c r="E158" t="s">
        <v>13</v>
      </c>
      <c r="F158">
        <v>91682.21</v>
      </c>
      <c r="G158">
        <v>86080.05</v>
      </c>
      <c r="H158">
        <v>5602.16</v>
      </c>
      <c r="J158" t="s">
        <v>14</v>
      </c>
    </row>
    <row r="159" spans="1:10" hidden="1" x14ac:dyDescent="0.35">
      <c r="A159" t="s">
        <v>56</v>
      </c>
      <c r="B159" t="s">
        <v>57</v>
      </c>
      <c r="C159">
        <v>2022</v>
      </c>
      <c r="D159" t="s">
        <v>15</v>
      </c>
      <c r="E159" t="s">
        <v>15</v>
      </c>
      <c r="F159">
        <v>16394.34</v>
      </c>
      <c r="G159">
        <v>16366.84</v>
      </c>
      <c r="H159">
        <v>27.5</v>
      </c>
      <c r="J159" t="s">
        <v>14</v>
      </c>
    </row>
    <row r="160" spans="1:10" hidden="1" x14ac:dyDescent="0.35">
      <c r="A160" t="s">
        <v>56</v>
      </c>
      <c r="B160" t="s">
        <v>57</v>
      </c>
      <c r="C160">
        <v>2022</v>
      </c>
      <c r="D160" t="s">
        <v>16</v>
      </c>
      <c r="E160" t="s">
        <v>17</v>
      </c>
      <c r="F160">
        <v>20897.72</v>
      </c>
      <c r="G160">
        <v>21429.63</v>
      </c>
      <c r="H160">
        <v>-531.91</v>
      </c>
      <c r="J160" t="s">
        <v>14</v>
      </c>
    </row>
    <row r="161" spans="1:10" hidden="1" x14ac:dyDescent="0.35">
      <c r="A161" t="s">
        <v>56</v>
      </c>
      <c r="B161" t="s">
        <v>57</v>
      </c>
      <c r="C161">
        <v>2022</v>
      </c>
      <c r="D161" t="s">
        <v>18</v>
      </c>
      <c r="E161" t="s">
        <v>17</v>
      </c>
      <c r="F161">
        <v>6557.33</v>
      </c>
      <c r="G161">
        <v>6626.32</v>
      </c>
      <c r="H161">
        <v>-68.989999999999995</v>
      </c>
      <c r="J161" t="s">
        <v>14</v>
      </c>
    </row>
    <row r="162" spans="1:10" hidden="1" x14ac:dyDescent="0.35">
      <c r="A162" t="s">
        <v>56</v>
      </c>
      <c r="B162" t="s">
        <v>57</v>
      </c>
      <c r="C162">
        <v>2022</v>
      </c>
      <c r="D162" t="s">
        <v>19</v>
      </c>
      <c r="E162" t="s">
        <v>20</v>
      </c>
      <c r="F162">
        <v>13238.33</v>
      </c>
      <c r="G162">
        <v>12636.66</v>
      </c>
      <c r="H162">
        <v>601.66</v>
      </c>
      <c r="J162" t="s">
        <v>14</v>
      </c>
    </row>
    <row r="163" spans="1:10" hidden="1" x14ac:dyDescent="0.35">
      <c r="A163" t="s">
        <v>56</v>
      </c>
      <c r="B163" t="s">
        <v>57</v>
      </c>
      <c r="C163">
        <v>2022</v>
      </c>
      <c r="D163" t="s">
        <v>21</v>
      </c>
      <c r="E163" t="s">
        <v>13</v>
      </c>
      <c r="F163">
        <v>3587.02</v>
      </c>
      <c r="G163">
        <v>3072.68</v>
      </c>
      <c r="H163">
        <v>514.34</v>
      </c>
      <c r="J163" t="s">
        <v>14</v>
      </c>
    </row>
    <row r="164" spans="1:10" hidden="1" x14ac:dyDescent="0.35">
      <c r="A164" t="s">
        <v>56</v>
      </c>
      <c r="B164" t="s">
        <v>57</v>
      </c>
      <c r="C164">
        <v>2022</v>
      </c>
      <c r="D164" t="s">
        <v>22</v>
      </c>
      <c r="E164" t="s">
        <v>23</v>
      </c>
      <c r="F164">
        <v>7355.17</v>
      </c>
      <c r="G164">
        <v>8146.48</v>
      </c>
      <c r="H164">
        <v>-791.31</v>
      </c>
      <c r="J164" t="s">
        <v>14</v>
      </c>
    </row>
    <row r="165" spans="1:10" hidden="1" x14ac:dyDescent="0.35">
      <c r="A165" t="s">
        <v>56</v>
      </c>
      <c r="B165" t="s">
        <v>57</v>
      </c>
      <c r="C165">
        <v>2022</v>
      </c>
      <c r="D165" t="s">
        <v>24</v>
      </c>
      <c r="E165" t="s">
        <v>13</v>
      </c>
      <c r="F165">
        <v>4621.16</v>
      </c>
      <c r="G165">
        <v>4345.92</v>
      </c>
      <c r="H165">
        <v>275.24</v>
      </c>
      <c r="J165" t="s">
        <v>14</v>
      </c>
    </row>
    <row r="166" spans="1:10" hidden="1" x14ac:dyDescent="0.35">
      <c r="A166" t="s">
        <v>56</v>
      </c>
      <c r="B166" t="s">
        <v>57</v>
      </c>
      <c r="C166">
        <v>2022</v>
      </c>
      <c r="D166" t="s">
        <v>25</v>
      </c>
      <c r="E166" t="s">
        <v>13</v>
      </c>
      <c r="F166">
        <v>6740.57</v>
      </c>
      <c r="G166">
        <v>6417.96</v>
      </c>
      <c r="H166">
        <v>322.62</v>
      </c>
      <c r="J166" t="s">
        <v>14</v>
      </c>
    </row>
    <row r="167" spans="1:10" hidden="1" x14ac:dyDescent="0.35">
      <c r="A167" t="s">
        <v>56</v>
      </c>
      <c r="B167" t="s">
        <v>57</v>
      </c>
      <c r="C167">
        <v>2022</v>
      </c>
      <c r="D167" t="s">
        <v>26</v>
      </c>
      <c r="E167" t="s">
        <v>17</v>
      </c>
      <c r="F167">
        <v>4871.3599999999997</v>
      </c>
      <c r="G167">
        <v>5248.07</v>
      </c>
      <c r="H167">
        <v>-376.71</v>
      </c>
      <c r="J167" t="s">
        <v>14</v>
      </c>
    </row>
    <row r="168" spans="1:10" hidden="1" x14ac:dyDescent="0.35">
      <c r="A168" t="s">
        <v>56</v>
      </c>
      <c r="B168" t="s">
        <v>57</v>
      </c>
      <c r="C168">
        <v>2022</v>
      </c>
      <c r="D168" t="s">
        <v>27</v>
      </c>
      <c r="E168" t="s">
        <v>13</v>
      </c>
      <c r="F168">
        <v>6967.64</v>
      </c>
      <c r="G168">
        <v>7366.71</v>
      </c>
      <c r="H168">
        <v>-399.08</v>
      </c>
      <c r="J168" t="s">
        <v>14</v>
      </c>
    </row>
    <row r="169" spans="1:10" hidden="1" x14ac:dyDescent="0.35">
      <c r="A169" t="s">
        <v>56</v>
      </c>
      <c r="B169" t="s">
        <v>57</v>
      </c>
      <c r="C169">
        <v>2022</v>
      </c>
      <c r="D169" t="s">
        <v>28</v>
      </c>
      <c r="E169" t="s">
        <v>20</v>
      </c>
      <c r="F169">
        <v>9612.02</v>
      </c>
      <c r="G169">
        <v>9726.4500000000007</v>
      </c>
      <c r="H169">
        <v>-114.43</v>
      </c>
      <c r="J169" t="s">
        <v>14</v>
      </c>
    </row>
    <row r="170" spans="1:10" x14ac:dyDescent="0.35">
      <c r="A170" t="s">
        <v>58</v>
      </c>
      <c r="B170" t="s">
        <v>59</v>
      </c>
      <c r="C170">
        <v>2022</v>
      </c>
      <c r="D170" t="s">
        <v>12</v>
      </c>
      <c r="E170" t="s">
        <v>13</v>
      </c>
      <c r="F170">
        <v>79813.52</v>
      </c>
      <c r="G170">
        <v>81919.75</v>
      </c>
      <c r="H170">
        <v>-2106.23</v>
      </c>
      <c r="J170" t="s">
        <v>14</v>
      </c>
    </row>
    <row r="171" spans="1:10" hidden="1" x14ac:dyDescent="0.35">
      <c r="A171" t="s">
        <v>58</v>
      </c>
      <c r="B171" t="s">
        <v>59</v>
      </c>
      <c r="C171">
        <v>2022</v>
      </c>
      <c r="D171" t="s">
        <v>15</v>
      </c>
      <c r="E171" t="s">
        <v>15</v>
      </c>
      <c r="F171">
        <v>15226.02</v>
      </c>
      <c r="G171">
        <v>15945.11</v>
      </c>
      <c r="H171">
        <v>-719.09</v>
      </c>
      <c r="J171" t="s">
        <v>14</v>
      </c>
    </row>
    <row r="172" spans="1:10" hidden="1" x14ac:dyDescent="0.35">
      <c r="A172" t="s">
        <v>58</v>
      </c>
      <c r="B172" t="s">
        <v>59</v>
      </c>
      <c r="C172">
        <v>2022</v>
      </c>
      <c r="D172" t="s">
        <v>16</v>
      </c>
      <c r="E172" t="s">
        <v>17</v>
      </c>
      <c r="F172">
        <v>20881.3</v>
      </c>
      <c r="G172">
        <v>20482</v>
      </c>
      <c r="H172">
        <v>399.3</v>
      </c>
      <c r="J172" t="s">
        <v>14</v>
      </c>
    </row>
    <row r="173" spans="1:10" hidden="1" x14ac:dyDescent="0.35">
      <c r="A173" t="s">
        <v>58</v>
      </c>
      <c r="B173" t="s">
        <v>59</v>
      </c>
      <c r="C173">
        <v>2022</v>
      </c>
      <c r="D173" t="s">
        <v>18</v>
      </c>
      <c r="E173" t="s">
        <v>17</v>
      </c>
      <c r="F173">
        <v>5074.1000000000004</v>
      </c>
      <c r="G173">
        <v>5288.58</v>
      </c>
      <c r="H173">
        <v>-214.48</v>
      </c>
      <c r="J173" t="s">
        <v>14</v>
      </c>
    </row>
    <row r="174" spans="1:10" hidden="1" x14ac:dyDescent="0.35">
      <c r="A174" t="s">
        <v>58</v>
      </c>
      <c r="B174" t="s">
        <v>59</v>
      </c>
      <c r="C174">
        <v>2022</v>
      </c>
      <c r="D174" t="s">
        <v>19</v>
      </c>
      <c r="E174" t="s">
        <v>20</v>
      </c>
      <c r="F174">
        <v>12652.55</v>
      </c>
      <c r="G174">
        <v>12421.95</v>
      </c>
      <c r="H174">
        <v>230.6</v>
      </c>
      <c r="J174" t="s">
        <v>14</v>
      </c>
    </row>
    <row r="175" spans="1:10" hidden="1" x14ac:dyDescent="0.35">
      <c r="A175" t="s">
        <v>58</v>
      </c>
      <c r="B175" t="s">
        <v>59</v>
      </c>
      <c r="C175">
        <v>2022</v>
      </c>
      <c r="D175" t="s">
        <v>21</v>
      </c>
      <c r="E175" t="s">
        <v>13</v>
      </c>
      <c r="F175">
        <v>2673.88</v>
      </c>
      <c r="G175">
        <v>3013.16</v>
      </c>
      <c r="H175">
        <v>-339.27</v>
      </c>
      <c r="J175" t="s">
        <v>14</v>
      </c>
    </row>
    <row r="176" spans="1:10" hidden="1" x14ac:dyDescent="0.35">
      <c r="A176" t="s">
        <v>58</v>
      </c>
      <c r="B176" t="s">
        <v>59</v>
      </c>
      <c r="C176">
        <v>2022</v>
      </c>
      <c r="D176" t="s">
        <v>22</v>
      </c>
      <c r="E176" t="s">
        <v>23</v>
      </c>
      <c r="F176">
        <v>8078.61</v>
      </c>
      <c r="G176">
        <v>8218.9500000000007</v>
      </c>
      <c r="H176">
        <v>-140.34</v>
      </c>
      <c r="J176" t="s">
        <v>14</v>
      </c>
    </row>
    <row r="177" spans="1:10" hidden="1" x14ac:dyDescent="0.35">
      <c r="A177" t="s">
        <v>58</v>
      </c>
      <c r="B177" t="s">
        <v>59</v>
      </c>
      <c r="C177">
        <v>2022</v>
      </c>
      <c r="D177" t="s">
        <v>24</v>
      </c>
      <c r="E177" t="s">
        <v>13</v>
      </c>
      <c r="F177">
        <v>4739.5200000000004</v>
      </c>
      <c r="G177">
        <v>4239.17</v>
      </c>
      <c r="H177">
        <v>500.34</v>
      </c>
      <c r="J177" t="s">
        <v>14</v>
      </c>
    </row>
    <row r="178" spans="1:10" hidden="1" x14ac:dyDescent="0.35">
      <c r="A178" t="s">
        <v>58</v>
      </c>
      <c r="B178" t="s">
        <v>59</v>
      </c>
      <c r="C178">
        <v>2022</v>
      </c>
      <c r="D178" t="s">
        <v>25</v>
      </c>
      <c r="E178" t="s">
        <v>13</v>
      </c>
      <c r="F178">
        <v>6379.41</v>
      </c>
      <c r="G178">
        <v>6462.1</v>
      </c>
      <c r="H178">
        <v>-82.68</v>
      </c>
      <c r="J178" t="s">
        <v>14</v>
      </c>
    </row>
    <row r="179" spans="1:10" hidden="1" x14ac:dyDescent="0.35">
      <c r="A179" t="s">
        <v>58</v>
      </c>
      <c r="B179" t="s">
        <v>59</v>
      </c>
      <c r="C179">
        <v>2022</v>
      </c>
      <c r="D179" t="s">
        <v>26</v>
      </c>
      <c r="E179" t="s">
        <v>17</v>
      </c>
      <c r="F179">
        <v>4826.18</v>
      </c>
      <c r="G179">
        <v>5247</v>
      </c>
      <c r="H179">
        <v>-420.82</v>
      </c>
      <c r="J179" t="s">
        <v>14</v>
      </c>
    </row>
    <row r="180" spans="1:10" hidden="1" x14ac:dyDescent="0.35">
      <c r="A180" t="s">
        <v>58</v>
      </c>
      <c r="B180" t="s">
        <v>59</v>
      </c>
      <c r="C180">
        <v>2022</v>
      </c>
      <c r="D180" t="s">
        <v>27</v>
      </c>
      <c r="E180" t="s">
        <v>13</v>
      </c>
      <c r="F180">
        <v>7176.28</v>
      </c>
      <c r="G180">
        <v>7345.92</v>
      </c>
      <c r="H180">
        <v>-169.64</v>
      </c>
      <c r="J180" t="s">
        <v>14</v>
      </c>
    </row>
    <row r="181" spans="1:10" hidden="1" x14ac:dyDescent="0.35">
      <c r="A181" t="s">
        <v>58</v>
      </c>
      <c r="B181" t="s">
        <v>59</v>
      </c>
      <c r="C181">
        <v>2022</v>
      </c>
      <c r="D181" t="s">
        <v>28</v>
      </c>
      <c r="E181" t="s">
        <v>20</v>
      </c>
      <c r="F181">
        <v>8910.0499999999993</v>
      </c>
      <c r="G181">
        <v>9541.49</v>
      </c>
      <c r="H181">
        <v>-631.44000000000005</v>
      </c>
      <c r="J181" t="s">
        <v>14</v>
      </c>
    </row>
    <row r="182" spans="1:10" x14ac:dyDescent="0.35">
      <c r="A182" t="s">
        <v>60</v>
      </c>
      <c r="B182" t="s">
        <v>61</v>
      </c>
      <c r="C182">
        <v>2022</v>
      </c>
      <c r="D182" t="s">
        <v>12</v>
      </c>
      <c r="E182" t="s">
        <v>13</v>
      </c>
      <c r="F182">
        <v>95769.24</v>
      </c>
      <c r="G182">
        <v>85308.75</v>
      </c>
      <c r="H182">
        <v>10460.48</v>
      </c>
      <c r="J182" t="s">
        <v>35</v>
      </c>
    </row>
    <row r="183" spans="1:10" hidden="1" x14ac:dyDescent="0.35">
      <c r="A183" t="s">
        <v>60</v>
      </c>
      <c r="B183" t="s">
        <v>61</v>
      </c>
      <c r="C183">
        <v>2022</v>
      </c>
      <c r="D183" t="s">
        <v>15</v>
      </c>
      <c r="E183" t="s">
        <v>15</v>
      </c>
      <c r="F183">
        <v>16203.12</v>
      </c>
      <c r="G183">
        <v>15698.61</v>
      </c>
      <c r="H183">
        <v>504.51</v>
      </c>
      <c r="J183" t="s">
        <v>35</v>
      </c>
    </row>
    <row r="184" spans="1:10" hidden="1" x14ac:dyDescent="0.35">
      <c r="A184" t="s">
        <v>60</v>
      </c>
      <c r="B184" t="s">
        <v>61</v>
      </c>
      <c r="C184">
        <v>2022</v>
      </c>
      <c r="D184" t="s">
        <v>16</v>
      </c>
      <c r="E184" t="s">
        <v>17</v>
      </c>
      <c r="F184">
        <v>20746.78</v>
      </c>
      <c r="G184">
        <v>21434.79</v>
      </c>
      <c r="H184">
        <v>-688.01</v>
      </c>
      <c r="J184" t="s">
        <v>35</v>
      </c>
    </row>
    <row r="185" spans="1:10" hidden="1" x14ac:dyDescent="0.35">
      <c r="A185" t="s">
        <v>60</v>
      </c>
      <c r="B185" t="s">
        <v>61</v>
      </c>
      <c r="C185">
        <v>2022</v>
      </c>
      <c r="D185" t="s">
        <v>18</v>
      </c>
      <c r="E185" t="s">
        <v>17</v>
      </c>
      <c r="F185">
        <v>5290.62</v>
      </c>
      <c r="G185">
        <v>5285.29</v>
      </c>
      <c r="H185">
        <v>5.32</v>
      </c>
      <c r="J185" t="s">
        <v>35</v>
      </c>
    </row>
    <row r="186" spans="1:10" hidden="1" x14ac:dyDescent="0.35">
      <c r="A186" t="s">
        <v>60</v>
      </c>
      <c r="B186" t="s">
        <v>61</v>
      </c>
      <c r="C186">
        <v>2022</v>
      </c>
      <c r="D186" t="s">
        <v>19</v>
      </c>
      <c r="E186" t="s">
        <v>20</v>
      </c>
      <c r="F186">
        <v>11855.44</v>
      </c>
      <c r="G186">
        <v>12636.92</v>
      </c>
      <c r="H186">
        <v>-781.48</v>
      </c>
      <c r="J186" t="s">
        <v>35</v>
      </c>
    </row>
    <row r="187" spans="1:10" hidden="1" x14ac:dyDescent="0.35">
      <c r="A187" t="s">
        <v>60</v>
      </c>
      <c r="B187" t="s">
        <v>61</v>
      </c>
      <c r="C187">
        <v>2022</v>
      </c>
      <c r="D187" t="s">
        <v>21</v>
      </c>
      <c r="E187" t="s">
        <v>13</v>
      </c>
      <c r="F187">
        <v>3277.9</v>
      </c>
      <c r="G187">
        <v>3152.32</v>
      </c>
      <c r="H187">
        <v>125.59</v>
      </c>
      <c r="J187" t="s">
        <v>35</v>
      </c>
    </row>
    <row r="188" spans="1:10" hidden="1" x14ac:dyDescent="0.35">
      <c r="A188" t="s">
        <v>60</v>
      </c>
      <c r="B188" t="s">
        <v>61</v>
      </c>
      <c r="C188">
        <v>2022</v>
      </c>
      <c r="D188" t="s">
        <v>22</v>
      </c>
      <c r="E188" t="s">
        <v>23</v>
      </c>
      <c r="F188">
        <v>9438.3799999999992</v>
      </c>
      <c r="G188">
        <v>8765.69</v>
      </c>
      <c r="H188">
        <v>672.69</v>
      </c>
      <c r="J188" t="s">
        <v>35</v>
      </c>
    </row>
    <row r="189" spans="1:10" hidden="1" x14ac:dyDescent="0.35">
      <c r="A189" t="s">
        <v>60</v>
      </c>
      <c r="B189" t="s">
        <v>61</v>
      </c>
      <c r="C189">
        <v>2022</v>
      </c>
      <c r="D189" t="s">
        <v>24</v>
      </c>
      <c r="E189" t="s">
        <v>13</v>
      </c>
      <c r="F189">
        <v>4196.82</v>
      </c>
      <c r="G189">
        <v>4471.3</v>
      </c>
      <c r="H189">
        <v>-274.48</v>
      </c>
      <c r="J189" t="s">
        <v>35</v>
      </c>
    </row>
    <row r="190" spans="1:10" hidden="1" x14ac:dyDescent="0.35">
      <c r="A190" t="s">
        <v>60</v>
      </c>
      <c r="B190" t="s">
        <v>61</v>
      </c>
      <c r="C190">
        <v>2022</v>
      </c>
      <c r="D190" t="s">
        <v>25</v>
      </c>
      <c r="E190" t="s">
        <v>13</v>
      </c>
      <c r="F190">
        <v>6559.69</v>
      </c>
      <c r="G190">
        <v>6464.87</v>
      </c>
      <c r="H190">
        <v>94.82</v>
      </c>
      <c r="J190" t="s">
        <v>35</v>
      </c>
    </row>
    <row r="191" spans="1:10" hidden="1" x14ac:dyDescent="0.35">
      <c r="A191" t="s">
        <v>60</v>
      </c>
      <c r="B191" t="s">
        <v>61</v>
      </c>
      <c r="C191">
        <v>2022</v>
      </c>
      <c r="D191" t="s">
        <v>26</v>
      </c>
      <c r="E191" t="s">
        <v>17</v>
      </c>
      <c r="F191">
        <v>5233.1099999999997</v>
      </c>
      <c r="G191">
        <v>5594.89</v>
      </c>
      <c r="H191">
        <v>-361.79</v>
      </c>
      <c r="J191" t="s">
        <v>35</v>
      </c>
    </row>
    <row r="192" spans="1:10" hidden="1" x14ac:dyDescent="0.35">
      <c r="A192" t="s">
        <v>60</v>
      </c>
      <c r="B192" t="s">
        <v>61</v>
      </c>
      <c r="C192">
        <v>2022</v>
      </c>
      <c r="D192" t="s">
        <v>27</v>
      </c>
      <c r="E192" t="s">
        <v>13</v>
      </c>
      <c r="F192">
        <v>6821.28</v>
      </c>
      <c r="G192">
        <v>7164.84</v>
      </c>
      <c r="H192">
        <v>-343.56</v>
      </c>
      <c r="J192" t="s">
        <v>35</v>
      </c>
    </row>
    <row r="193" spans="1:10" hidden="1" x14ac:dyDescent="0.35">
      <c r="A193" t="s">
        <v>60</v>
      </c>
      <c r="B193" t="s">
        <v>61</v>
      </c>
      <c r="C193">
        <v>2022</v>
      </c>
      <c r="D193" t="s">
        <v>28</v>
      </c>
      <c r="E193" t="s">
        <v>20</v>
      </c>
      <c r="F193">
        <v>8475.73</v>
      </c>
      <c r="G193">
        <v>8847.8799999999992</v>
      </c>
      <c r="H193">
        <v>-372.15</v>
      </c>
      <c r="J193" t="s">
        <v>35</v>
      </c>
    </row>
    <row r="194" spans="1:10" x14ac:dyDescent="0.35">
      <c r="A194" t="s">
        <v>62</v>
      </c>
      <c r="B194" t="s">
        <v>63</v>
      </c>
      <c r="C194">
        <v>2022</v>
      </c>
      <c r="D194" t="s">
        <v>12</v>
      </c>
      <c r="E194" t="s">
        <v>13</v>
      </c>
      <c r="F194">
        <v>83074.62</v>
      </c>
      <c r="G194">
        <v>82086.990000000005</v>
      </c>
      <c r="H194">
        <v>987.63</v>
      </c>
      <c r="J194" t="s">
        <v>35</v>
      </c>
    </row>
    <row r="195" spans="1:10" hidden="1" x14ac:dyDescent="0.35">
      <c r="A195" t="s">
        <v>62</v>
      </c>
      <c r="B195" t="s">
        <v>63</v>
      </c>
      <c r="C195">
        <v>2022</v>
      </c>
      <c r="D195" t="s">
        <v>15</v>
      </c>
      <c r="E195" t="s">
        <v>15</v>
      </c>
      <c r="F195">
        <v>18299.689999999999</v>
      </c>
      <c r="G195">
        <v>15911.48</v>
      </c>
      <c r="H195">
        <v>2388.21</v>
      </c>
      <c r="J195" t="s">
        <v>35</v>
      </c>
    </row>
    <row r="196" spans="1:10" hidden="1" x14ac:dyDescent="0.35">
      <c r="A196" t="s">
        <v>62</v>
      </c>
      <c r="B196" t="s">
        <v>63</v>
      </c>
      <c r="C196">
        <v>2022</v>
      </c>
      <c r="D196" t="s">
        <v>16</v>
      </c>
      <c r="E196" t="s">
        <v>17</v>
      </c>
      <c r="F196">
        <v>20601.93</v>
      </c>
      <c r="G196">
        <v>21598.77</v>
      </c>
      <c r="H196">
        <v>-996.83</v>
      </c>
      <c r="J196" t="s">
        <v>35</v>
      </c>
    </row>
    <row r="197" spans="1:10" hidden="1" x14ac:dyDescent="0.35">
      <c r="A197" t="s">
        <v>62</v>
      </c>
      <c r="B197" t="s">
        <v>63</v>
      </c>
      <c r="C197">
        <v>2022</v>
      </c>
      <c r="D197" t="s">
        <v>18</v>
      </c>
      <c r="E197" t="s">
        <v>17</v>
      </c>
      <c r="F197">
        <v>5309.54</v>
      </c>
      <c r="G197">
        <v>5108.5</v>
      </c>
      <c r="H197">
        <v>201.04</v>
      </c>
      <c r="J197" t="s">
        <v>35</v>
      </c>
    </row>
    <row r="198" spans="1:10" hidden="1" x14ac:dyDescent="0.35">
      <c r="A198" t="s">
        <v>62</v>
      </c>
      <c r="B198" t="s">
        <v>63</v>
      </c>
      <c r="C198">
        <v>2022</v>
      </c>
      <c r="D198" t="s">
        <v>19</v>
      </c>
      <c r="E198" t="s">
        <v>20</v>
      </c>
      <c r="F198">
        <v>13873.94</v>
      </c>
      <c r="G198">
        <v>12100.95</v>
      </c>
      <c r="H198">
        <v>1772.99</v>
      </c>
      <c r="J198" t="s">
        <v>35</v>
      </c>
    </row>
    <row r="199" spans="1:10" hidden="1" x14ac:dyDescent="0.35">
      <c r="A199" t="s">
        <v>62</v>
      </c>
      <c r="B199" t="s">
        <v>63</v>
      </c>
      <c r="C199">
        <v>2022</v>
      </c>
      <c r="D199" t="s">
        <v>21</v>
      </c>
      <c r="E199" t="s">
        <v>13</v>
      </c>
      <c r="F199">
        <v>3139.04</v>
      </c>
      <c r="G199">
        <v>3261.46</v>
      </c>
      <c r="H199">
        <v>-122.42</v>
      </c>
      <c r="J199" t="s">
        <v>35</v>
      </c>
    </row>
    <row r="200" spans="1:10" hidden="1" x14ac:dyDescent="0.35">
      <c r="A200" t="s">
        <v>62</v>
      </c>
      <c r="B200" t="s">
        <v>63</v>
      </c>
      <c r="C200">
        <v>2022</v>
      </c>
      <c r="D200" t="s">
        <v>22</v>
      </c>
      <c r="E200" t="s">
        <v>23</v>
      </c>
      <c r="F200">
        <v>8831.33</v>
      </c>
      <c r="G200">
        <v>7968.29</v>
      </c>
      <c r="H200">
        <v>863.04</v>
      </c>
      <c r="J200" t="s">
        <v>35</v>
      </c>
    </row>
    <row r="201" spans="1:10" hidden="1" x14ac:dyDescent="0.35">
      <c r="A201" t="s">
        <v>62</v>
      </c>
      <c r="B201" t="s">
        <v>63</v>
      </c>
      <c r="C201">
        <v>2022</v>
      </c>
      <c r="D201" t="s">
        <v>24</v>
      </c>
      <c r="E201" t="s">
        <v>13</v>
      </c>
      <c r="F201">
        <v>4600.05</v>
      </c>
      <c r="G201">
        <v>4185.57</v>
      </c>
      <c r="H201">
        <v>414.48</v>
      </c>
      <c r="J201" t="s">
        <v>35</v>
      </c>
    </row>
    <row r="202" spans="1:10" hidden="1" x14ac:dyDescent="0.35">
      <c r="A202" t="s">
        <v>62</v>
      </c>
      <c r="B202" t="s">
        <v>63</v>
      </c>
      <c r="C202">
        <v>2022</v>
      </c>
      <c r="D202" t="s">
        <v>25</v>
      </c>
      <c r="E202" t="s">
        <v>13</v>
      </c>
      <c r="F202">
        <v>5711.02</v>
      </c>
      <c r="G202">
        <v>5998.65</v>
      </c>
      <c r="H202">
        <v>-287.64</v>
      </c>
      <c r="J202" t="s">
        <v>35</v>
      </c>
    </row>
    <row r="203" spans="1:10" hidden="1" x14ac:dyDescent="0.35">
      <c r="A203" t="s">
        <v>62</v>
      </c>
      <c r="B203" t="s">
        <v>63</v>
      </c>
      <c r="C203">
        <v>2022</v>
      </c>
      <c r="D203" t="s">
        <v>26</v>
      </c>
      <c r="E203" t="s">
        <v>17</v>
      </c>
      <c r="F203">
        <v>5270.56</v>
      </c>
      <c r="G203">
        <v>5250.83</v>
      </c>
      <c r="H203">
        <v>19.73</v>
      </c>
      <c r="J203" t="s">
        <v>35</v>
      </c>
    </row>
    <row r="204" spans="1:10" hidden="1" x14ac:dyDescent="0.35">
      <c r="A204" t="s">
        <v>62</v>
      </c>
      <c r="B204" t="s">
        <v>63</v>
      </c>
      <c r="C204">
        <v>2022</v>
      </c>
      <c r="D204" t="s">
        <v>27</v>
      </c>
      <c r="E204" t="s">
        <v>13</v>
      </c>
      <c r="F204">
        <v>7612.05</v>
      </c>
      <c r="G204">
        <v>7250.76</v>
      </c>
      <c r="H204">
        <v>361.29</v>
      </c>
      <c r="J204" t="s">
        <v>35</v>
      </c>
    </row>
    <row r="205" spans="1:10" hidden="1" x14ac:dyDescent="0.35">
      <c r="A205" t="s">
        <v>62</v>
      </c>
      <c r="B205" t="s">
        <v>63</v>
      </c>
      <c r="C205">
        <v>2022</v>
      </c>
      <c r="D205" t="s">
        <v>28</v>
      </c>
      <c r="E205" t="s">
        <v>20</v>
      </c>
      <c r="F205">
        <v>9043.14</v>
      </c>
      <c r="G205">
        <v>9147.33</v>
      </c>
      <c r="H205">
        <v>-104.19</v>
      </c>
      <c r="J205" t="s">
        <v>35</v>
      </c>
    </row>
    <row r="206" spans="1:10" x14ac:dyDescent="0.35">
      <c r="A206" t="s">
        <v>64</v>
      </c>
      <c r="B206" t="s">
        <v>65</v>
      </c>
      <c r="C206">
        <v>2022</v>
      </c>
      <c r="D206" t="s">
        <v>12</v>
      </c>
      <c r="E206" t="s">
        <v>13</v>
      </c>
      <c r="F206">
        <v>87772.65</v>
      </c>
      <c r="G206">
        <v>84303.14</v>
      </c>
      <c r="H206">
        <v>3469.5</v>
      </c>
      <c r="J206" t="s">
        <v>35</v>
      </c>
    </row>
    <row r="207" spans="1:10" hidden="1" x14ac:dyDescent="0.35">
      <c r="A207" t="s">
        <v>64</v>
      </c>
      <c r="B207" t="s">
        <v>65</v>
      </c>
      <c r="C207">
        <v>2022</v>
      </c>
      <c r="D207" t="s">
        <v>15</v>
      </c>
      <c r="E207" t="s">
        <v>15</v>
      </c>
      <c r="F207">
        <v>14638.94</v>
      </c>
      <c r="G207">
        <v>16086.24</v>
      </c>
      <c r="H207">
        <v>-1447.3</v>
      </c>
      <c r="J207" t="s">
        <v>35</v>
      </c>
    </row>
    <row r="208" spans="1:10" hidden="1" x14ac:dyDescent="0.35">
      <c r="A208" t="s">
        <v>64</v>
      </c>
      <c r="B208" t="s">
        <v>65</v>
      </c>
      <c r="C208">
        <v>2022</v>
      </c>
      <c r="D208" t="s">
        <v>16</v>
      </c>
      <c r="E208" t="s">
        <v>17</v>
      </c>
      <c r="F208">
        <v>22081.22</v>
      </c>
      <c r="G208">
        <v>20033.509999999998</v>
      </c>
      <c r="H208">
        <v>2047.71</v>
      </c>
      <c r="J208" t="s">
        <v>35</v>
      </c>
    </row>
    <row r="209" spans="1:10" hidden="1" x14ac:dyDescent="0.35">
      <c r="A209" t="s">
        <v>64</v>
      </c>
      <c r="B209" t="s">
        <v>65</v>
      </c>
      <c r="C209">
        <v>2022</v>
      </c>
      <c r="D209" t="s">
        <v>18</v>
      </c>
      <c r="E209" t="s">
        <v>17</v>
      </c>
      <c r="F209">
        <v>4984.84</v>
      </c>
      <c r="G209">
        <v>5302.34</v>
      </c>
      <c r="H209">
        <v>-317.5</v>
      </c>
      <c r="J209" t="s">
        <v>35</v>
      </c>
    </row>
    <row r="210" spans="1:10" hidden="1" x14ac:dyDescent="0.35">
      <c r="A210" t="s">
        <v>64</v>
      </c>
      <c r="B210" t="s">
        <v>65</v>
      </c>
      <c r="C210">
        <v>2022</v>
      </c>
      <c r="D210" t="s">
        <v>19</v>
      </c>
      <c r="E210" t="s">
        <v>20</v>
      </c>
      <c r="F210">
        <v>13308.36</v>
      </c>
      <c r="G210">
        <v>13186.34</v>
      </c>
      <c r="H210">
        <v>122.03</v>
      </c>
      <c r="J210" t="s">
        <v>35</v>
      </c>
    </row>
    <row r="211" spans="1:10" hidden="1" x14ac:dyDescent="0.35">
      <c r="A211" t="s">
        <v>64</v>
      </c>
      <c r="B211" t="s">
        <v>65</v>
      </c>
      <c r="C211">
        <v>2022</v>
      </c>
      <c r="D211" t="s">
        <v>21</v>
      </c>
      <c r="E211" t="s">
        <v>13</v>
      </c>
      <c r="F211">
        <v>3279.06</v>
      </c>
      <c r="G211">
        <v>3261.44</v>
      </c>
      <c r="H211">
        <v>17.62</v>
      </c>
      <c r="J211" t="s">
        <v>35</v>
      </c>
    </row>
    <row r="212" spans="1:10" hidden="1" x14ac:dyDescent="0.35">
      <c r="A212" t="s">
        <v>64</v>
      </c>
      <c r="B212" t="s">
        <v>65</v>
      </c>
      <c r="C212">
        <v>2022</v>
      </c>
      <c r="D212" t="s">
        <v>22</v>
      </c>
      <c r="E212" t="s">
        <v>23</v>
      </c>
      <c r="F212">
        <v>14240.55</v>
      </c>
      <c r="G212">
        <v>12487.03</v>
      </c>
      <c r="H212">
        <v>1753.52</v>
      </c>
      <c r="J212" t="s">
        <v>35</v>
      </c>
    </row>
    <row r="213" spans="1:10" hidden="1" x14ac:dyDescent="0.35">
      <c r="A213" t="s">
        <v>64</v>
      </c>
      <c r="B213" t="s">
        <v>65</v>
      </c>
      <c r="C213">
        <v>2022</v>
      </c>
      <c r="D213" t="s">
        <v>24</v>
      </c>
      <c r="E213" t="s">
        <v>13</v>
      </c>
      <c r="F213">
        <v>4492.6400000000003</v>
      </c>
      <c r="G213">
        <v>4168.63</v>
      </c>
      <c r="H213">
        <v>324.01</v>
      </c>
      <c r="J213" t="s">
        <v>35</v>
      </c>
    </row>
    <row r="214" spans="1:10" hidden="1" x14ac:dyDescent="0.35">
      <c r="A214" t="s">
        <v>64</v>
      </c>
      <c r="B214" t="s">
        <v>65</v>
      </c>
      <c r="C214">
        <v>2022</v>
      </c>
      <c r="D214" t="s">
        <v>25</v>
      </c>
      <c r="E214" t="s">
        <v>13</v>
      </c>
      <c r="F214">
        <v>7125.12</v>
      </c>
      <c r="G214">
        <v>6421.98</v>
      </c>
      <c r="H214">
        <v>703.15</v>
      </c>
      <c r="J214" t="s">
        <v>35</v>
      </c>
    </row>
    <row r="215" spans="1:10" hidden="1" x14ac:dyDescent="0.35">
      <c r="A215" t="s">
        <v>64</v>
      </c>
      <c r="B215" t="s">
        <v>65</v>
      </c>
      <c r="C215">
        <v>2022</v>
      </c>
      <c r="D215" t="s">
        <v>26</v>
      </c>
      <c r="E215" t="s">
        <v>17</v>
      </c>
      <c r="F215">
        <v>5377.83</v>
      </c>
      <c r="G215">
        <v>5098.0200000000004</v>
      </c>
      <c r="H215">
        <v>279.8</v>
      </c>
      <c r="J215" t="s">
        <v>35</v>
      </c>
    </row>
    <row r="216" spans="1:10" hidden="1" x14ac:dyDescent="0.35">
      <c r="A216" t="s">
        <v>64</v>
      </c>
      <c r="B216" t="s">
        <v>65</v>
      </c>
      <c r="C216">
        <v>2022</v>
      </c>
      <c r="D216" t="s">
        <v>27</v>
      </c>
      <c r="E216" t="s">
        <v>13</v>
      </c>
      <c r="F216">
        <v>6516.41</v>
      </c>
      <c r="G216">
        <v>7583.38</v>
      </c>
      <c r="H216">
        <v>-1066.98</v>
      </c>
      <c r="J216" t="s">
        <v>35</v>
      </c>
    </row>
    <row r="217" spans="1:10" hidden="1" x14ac:dyDescent="0.35">
      <c r="A217" t="s">
        <v>64</v>
      </c>
      <c r="B217" t="s">
        <v>65</v>
      </c>
      <c r="C217">
        <v>2022</v>
      </c>
      <c r="D217" t="s">
        <v>28</v>
      </c>
      <c r="E217" t="s">
        <v>20</v>
      </c>
      <c r="F217">
        <v>7627.61</v>
      </c>
      <c r="G217">
        <v>9114.5499999999993</v>
      </c>
      <c r="H217">
        <v>-1486.93</v>
      </c>
      <c r="J217" t="s">
        <v>35</v>
      </c>
    </row>
    <row r="218" spans="1:10" x14ac:dyDescent="0.35">
      <c r="A218" t="s">
        <v>66</v>
      </c>
      <c r="B218" t="s">
        <v>67</v>
      </c>
      <c r="C218">
        <v>2022</v>
      </c>
      <c r="D218" t="s">
        <v>12</v>
      </c>
      <c r="E218" t="s">
        <v>13</v>
      </c>
      <c r="F218">
        <v>88104.01</v>
      </c>
      <c r="G218">
        <v>83321.09</v>
      </c>
      <c r="H218">
        <v>4782.91</v>
      </c>
      <c r="J218" t="s">
        <v>42</v>
      </c>
    </row>
    <row r="219" spans="1:10" hidden="1" x14ac:dyDescent="0.35">
      <c r="A219" t="s">
        <v>66</v>
      </c>
      <c r="B219" t="s">
        <v>67</v>
      </c>
      <c r="C219">
        <v>2022</v>
      </c>
      <c r="D219" t="s">
        <v>15</v>
      </c>
      <c r="E219" t="s">
        <v>15</v>
      </c>
      <c r="F219">
        <v>16557.43</v>
      </c>
      <c r="G219">
        <v>16459.86</v>
      </c>
      <c r="H219">
        <v>97.57</v>
      </c>
      <c r="J219" t="s">
        <v>42</v>
      </c>
    </row>
    <row r="220" spans="1:10" hidden="1" x14ac:dyDescent="0.35">
      <c r="A220" t="s">
        <v>66</v>
      </c>
      <c r="B220" t="s">
        <v>67</v>
      </c>
      <c r="C220">
        <v>2022</v>
      </c>
      <c r="D220" t="s">
        <v>16</v>
      </c>
      <c r="E220" t="s">
        <v>17</v>
      </c>
      <c r="F220">
        <v>19594.18</v>
      </c>
      <c r="G220">
        <v>22026.03</v>
      </c>
      <c r="H220">
        <v>-2431.85</v>
      </c>
      <c r="J220" t="s">
        <v>42</v>
      </c>
    </row>
    <row r="221" spans="1:10" hidden="1" x14ac:dyDescent="0.35">
      <c r="A221" t="s">
        <v>66</v>
      </c>
      <c r="B221" t="s">
        <v>67</v>
      </c>
      <c r="C221">
        <v>2022</v>
      </c>
      <c r="D221" t="s">
        <v>18</v>
      </c>
      <c r="E221" t="s">
        <v>17</v>
      </c>
      <c r="F221">
        <v>4959.58</v>
      </c>
      <c r="G221">
        <v>4981.72</v>
      </c>
      <c r="H221">
        <v>-22.14</v>
      </c>
      <c r="J221" t="s">
        <v>42</v>
      </c>
    </row>
    <row r="222" spans="1:10" hidden="1" x14ac:dyDescent="0.35">
      <c r="A222" t="s">
        <v>66</v>
      </c>
      <c r="B222" t="s">
        <v>67</v>
      </c>
      <c r="C222">
        <v>2022</v>
      </c>
      <c r="D222" t="s">
        <v>19</v>
      </c>
      <c r="E222" t="s">
        <v>20</v>
      </c>
      <c r="F222">
        <v>12711.84</v>
      </c>
      <c r="G222">
        <v>12745.18</v>
      </c>
      <c r="H222">
        <v>-33.340000000000003</v>
      </c>
      <c r="J222" t="s">
        <v>42</v>
      </c>
    </row>
    <row r="223" spans="1:10" hidden="1" x14ac:dyDescent="0.35">
      <c r="A223" t="s">
        <v>66</v>
      </c>
      <c r="B223" t="s">
        <v>67</v>
      </c>
      <c r="C223">
        <v>2022</v>
      </c>
      <c r="D223" t="s">
        <v>21</v>
      </c>
      <c r="E223" t="s">
        <v>13</v>
      </c>
      <c r="F223">
        <v>2933.56</v>
      </c>
      <c r="G223">
        <v>2954.63</v>
      </c>
      <c r="H223">
        <v>-21.07</v>
      </c>
      <c r="J223" t="s">
        <v>42</v>
      </c>
    </row>
    <row r="224" spans="1:10" hidden="1" x14ac:dyDescent="0.35">
      <c r="A224" t="s">
        <v>66</v>
      </c>
      <c r="B224" t="s">
        <v>67</v>
      </c>
      <c r="C224">
        <v>2022</v>
      </c>
      <c r="D224" t="s">
        <v>22</v>
      </c>
      <c r="E224" t="s">
        <v>23</v>
      </c>
      <c r="F224">
        <v>11905.16</v>
      </c>
      <c r="G224">
        <v>11299.78</v>
      </c>
      <c r="H224">
        <v>605.37</v>
      </c>
      <c r="J224" t="s">
        <v>42</v>
      </c>
    </row>
    <row r="225" spans="1:10" hidden="1" x14ac:dyDescent="0.35">
      <c r="A225" t="s">
        <v>66</v>
      </c>
      <c r="B225" t="s">
        <v>67</v>
      </c>
      <c r="C225">
        <v>2022</v>
      </c>
      <c r="D225" t="s">
        <v>24</v>
      </c>
      <c r="E225" t="s">
        <v>13</v>
      </c>
      <c r="F225">
        <v>3926.92</v>
      </c>
      <c r="G225">
        <v>4246.1899999999996</v>
      </c>
      <c r="H225">
        <v>-319.27</v>
      </c>
      <c r="J225" t="s">
        <v>42</v>
      </c>
    </row>
    <row r="226" spans="1:10" hidden="1" x14ac:dyDescent="0.35">
      <c r="A226" t="s">
        <v>66</v>
      </c>
      <c r="B226" t="s">
        <v>67</v>
      </c>
      <c r="C226">
        <v>2022</v>
      </c>
      <c r="D226" t="s">
        <v>25</v>
      </c>
      <c r="E226" t="s">
        <v>13</v>
      </c>
      <c r="F226">
        <v>5677.27</v>
      </c>
      <c r="G226">
        <v>6202.88</v>
      </c>
      <c r="H226">
        <v>-525.61</v>
      </c>
      <c r="J226" t="s">
        <v>42</v>
      </c>
    </row>
    <row r="227" spans="1:10" hidden="1" x14ac:dyDescent="0.35">
      <c r="A227" t="s">
        <v>66</v>
      </c>
      <c r="B227" t="s">
        <v>67</v>
      </c>
      <c r="C227">
        <v>2022</v>
      </c>
      <c r="D227" t="s">
        <v>26</v>
      </c>
      <c r="E227" t="s">
        <v>17</v>
      </c>
      <c r="F227">
        <v>5640.53</v>
      </c>
      <c r="G227">
        <v>5240.13</v>
      </c>
      <c r="H227">
        <v>400.41</v>
      </c>
      <c r="J227" t="s">
        <v>42</v>
      </c>
    </row>
    <row r="228" spans="1:10" hidden="1" x14ac:dyDescent="0.35">
      <c r="A228" t="s">
        <v>66</v>
      </c>
      <c r="B228" t="s">
        <v>67</v>
      </c>
      <c r="C228">
        <v>2022</v>
      </c>
      <c r="D228" t="s">
        <v>27</v>
      </c>
      <c r="E228" t="s">
        <v>13</v>
      </c>
      <c r="F228">
        <v>7420.26</v>
      </c>
      <c r="G228">
        <v>7132.65</v>
      </c>
      <c r="H228">
        <v>287.61</v>
      </c>
      <c r="J228" t="s">
        <v>42</v>
      </c>
    </row>
    <row r="229" spans="1:10" hidden="1" x14ac:dyDescent="0.35">
      <c r="A229" t="s">
        <v>66</v>
      </c>
      <c r="B229" t="s">
        <v>67</v>
      </c>
      <c r="C229">
        <v>2022</v>
      </c>
      <c r="D229" t="s">
        <v>28</v>
      </c>
      <c r="E229" t="s">
        <v>20</v>
      </c>
      <c r="F229">
        <v>8709.7999999999993</v>
      </c>
      <c r="G229">
        <v>9299.67</v>
      </c>
      <c r="H229">
        <v>-589.88</v>
      </c>
      <c r="J229" t="s">
        <v>42</v>
      </c>
    </row>
    <row r="230" spans="1:10" x14ac:dyDescent="0.35">
      <c r="A230" t="s">
        <v>68</v>
      </c>
      <c r="B230" t="s">
        <v>69</v>
      </c>
      <c r="C230">
        <v>2022</v>
      </c>
      <c r="D230" t="s">
        <v>12</v>
      </c>
      <c r="E230" t="s">
        <v>13</v>
      </c>
      <c r="F230">
        <v>76795.789999999994</v>
      </c>
      <c r="G230">
        <v>83730.28</v>
      </c>
      <c r="H230">
        <v>-6934.49</v>
      </c>
      <c r="J230" t="s">
        <v>42</v>
      </c>
    </row>
    <row r="231" spans="1:10" hidden="1" x14ac:dyDescent="0.35">
      <c r="A231" t="s">
        <v>68</v>
      </c>
      <c r="B231" t="s">
        <v>69</v>
      </c>
      <c r="C231">
        <v>2022</v>
      </c>
      <c r="D231" t="s">
        <v>15</v>
      </c>
      <c r="E231" t="s">
        <v>15</v>
      </c>
      <c r="F231">
        <v>14004.14</v>
      </c>
      <c r="G231">
        <v>15488.4</v>
      </c>
      <c r="H231">
        <v>-1484.26</v>
      </c>
      <c r="J231" t="s">
        <v>42</v>
      </c>
    </row>
    <row r="232" spans="1:10" hidden="1" x14ac:dyDescent="0.35">
      <c r="A232" t="s">
        <v>68</v>
      </c>
      <c r="B232" t="s">
        <v>69</v>
      </c>
      <c r="C232">
        <v>2022</v>
      </c>
      <c r="D232" t="s">
        <v>16</v>
      </c>
      <c r="E232" t="s">
        <v>17</v>
      </c>
      <c r="F232">
        <v>22300.51</v>
      </c>
      <c r="G232">
        <v>22237.78</v>
      </c>
      <c r="H232">
        <v>62.73</v>
      </c>
      <c r="J232" t="s">
        <v>42</v>
      </c>
    </row>
    <row r="233" spans="1:10" hidden="1" x14ac:dyDescent="0.35">
      <c r="A233" t="s">
        <v>68</v>
      </c>
      <c r="B233" t="s">
        <v>69</v>
      </c>
      <c r="C233">
        <v>2022</v>
      </c>
      <c r="D233" t="s">
        <v>18</v>
      </c>
      <c r="E233" t="s">
        <v>17</v>
      </c>
      <c r="F233">
        <v>5227.78</v>
      </c>
      <c r="G233">
        <v>5139.79</v>
      </c>
      <c r="H233">
        <v>87.98</v>
      </c>
      <c r="J233" t="s">
        <v>42</v>
      </c>
    </row>
    <row r="234" spans="1:10" hidden="1" x14ac:dyDescent="0.35">
      <c r="A234" t="s">
        <v>68</v>
      </c>
      <c r="B234" t="s">
        <v>69</v>
      </c>
      <c r="C234">
        <v>2022</v>
      </c>
      <c r="D234" t="s">
        <v>19</v>
      </c>
      <c r="E234" t="s">
        <v>20</v>
      </c>
      <c r="F234">
        <v>12335.55</v>
      </c>
      <c r="G234">
        <v>12557.54</v>
      </c>
      <c r="H234">
        <v>-221.99</v>
      </c>
      <c r="J234" t="s">
        <v>42</v>
      </c>
    </row>
    <row r="235" spans="1:10" hidden="1" x14ac:dyDescent="0.35">
      <c r="A235" t="s">
        <v>68</v>
      </c>
      <c r="B235" t="s">
        <v>69</v>
      </c>
      <c r="C235">
        <v>2022</v>
      </c>
      <c r="D235" t="s">
        <v>21</v>
      </c>
      <c r="E235" t="s">
        <v>13</v>
      </c>
      <c r="F235">
        <v>3402.45</v>
      </c>
      <c r="G235">
        <v>3208.04</v>
      </c>
      <c r="H235">
        <v>194.41</v>
      </c>
      <c r="J235" t="s">
        <v>42</v>
      </c>
    </row>
    <row r="236" spans="1:10" hidden="1" x14ac:dyDescent="0.35">
      <c r="A236" t="s">
        <v>68</v>
      </c>
      <c r="B236" t="s">
        <v>69</v>
      </c>
      <c r="C236">
        <v>2022</v>
      </c>
      <c r="D236" t="s">
        <v>22</v>
      </c>
      <c r="E236" t="s">
        <v>23</v>
      </c>
      <c r="F236">
        <v>11039.73</v>
      </c>
      <c r="G236">
        <v>11572.84</v>
      </c>
      <c r="H236">
        <v>-533.11</v>
      </c>
      <c r="J236" t="s">
        <v>42</v>
      </c>
    </row>
    <row r="237" spans="1:10" hidden="1" x14ac:dyDescent="0.35">
      <c r="A237" t="s">
        <v>68</v>
      </c>
      <c r="B237" t="s">
        <v>69</v>
      </c>
      <c r="C237">
        <v>2022</v>
      </c>
      <c r="D237" t="s">
        <v>24</v>
      </c>
      <c r="E237" t="s">
        <v>13</v>
      </c>
      <c r="F237">
        <v>3398.28</v>
      </c>
      <c r="G237">
        <v>4165.34</v>
      </c>
      <c r="H237">
        <v>-767.06</v>
      </c>
      <c r="J237" t="s">
        <v>42</v>
      </c>
    </row>
    <row r="238" spans="1:10" hidden="1" x14ac:dyDescent="0.35">
      <c r="A238" t="s">
        <v>68</v>
      </c>
      <c r="B238" t="s">
        <v>69</v>
      </c>
      <c r="C238">
        <v>2022</v>
      </c>
      <c r="D238" t="s">
        <v>25</v>
      </c>
      <c r="E238" t="s">
        <v>13</v>
      </c>
      <c r="F238">
        <v>6671.22</v>
      </c>
      <c r="G238">
        <v>6013.63</v>
      </c>
      <c r="H238">
        <v>657.59</v>
      </c>
      <c r="J238" t="s">
        <v>42</v>
      </c>
    </row>
    <row r="239" spans="1:10" hidden="1" x14ac:dyDescent="0.35">
      <c r="A239" t="s">
        <v>68</v>
      </c>
      <c r="B239" t="s">
        <v>69</v>
      </c>
      <c r="C239">
        <v>2022</v>
      </c>
      <c r="D239" t="s">
        <v>26</v>
      </c>
      <c r="E239" t="s">
        <v>17</v>
      </c>
      <c r="F239">
        <v>5399.33</v>
      </c>
      <c r="G239">
        <v>5509.08</v>
      </c>
      <c r="H239">
        <v>-109.76</v>
      </c>
      <c r="J239" t="s">
        <v>42</v>
      </c>
    </row>
    <row r="240" spans="1:10" hidden="1" x14ac:dyDescent="0.35">
      <c r="A240" t="s">
        <v>68</v>
      </c>
      <c r="B240" t="s">
        <v>69</v>
      </c>
      <c r="C240">
        <v>2022</v>
      </c>
      <c r="D240" t="s">
        <v>27</v>
      </c>
      <c r="E240" t="s">
        <v>13</v>
      </c>
      <c r="F240">
        <v>7663.31</v>
      </c>
      <c r="G240">
        <v>7477.13</v>
      </c>
      <c r="H240">
        <v>186.18</v>
      </c>
      <c r="J240" t="s">
        <v>42</v>
      </c>
    </row>
    <row r="241" spans="1:10" hidden="1" x14ac:dyDescent="0.35">
      <c r="A241" t="s">
        <v>68</v>
      </c>
      <c r="B241" t="s">
        <v>69</v>
      </c>
      <c r="C241">
        <v>2022</v>
      </c>
      <c r="D241" t="s">
        <v>28</v>
      </c>
      <c r="E241" t="s">
        <v>20</v>
      </c>
      <c r="F241">
        <v>11247.44</v>
      </c>
      <c r="G241">
        <v>10322.86</v>
      </c>
      <c r="H241">
        <v>924.58</v>
      </c>
      <c r="J241" t="s">
        <v>42</v>
      </c>
    </row>
    <row r="242" spans="1:10" x14ac:dyDescent="0.35">
      <c r="A242" t="s">
        <v>70</v>
      </c>
      <c r="B242" t="s">
        <v>71</v>
      </c>
      <c r="C242">
        <v>2022</v>
      </c>
      <c r="D242" t="s">
        <v>12</v>
      </c>
      <c r="E242" t="s">
        <v>13</v>
      </c>
      <c r="F242">
        <v>77281.06</v>
      </c>
      <c r="G242">
        <v>83677.649999999994</v>
      </c>
      <c r="H242">
        <v>-6396.59</v>
      </c>
      <c r="J242" t="s">
        <v>42</v>
      </c>
    </row>
    <row r="243" spans="1:10" hidden="1" x14ac:dyDescent="0.35">
      <c r="A243" t="s">
        <v>70</v>
      </c>
      <c r="B243" t="s">
        <v>71</v>
      </c>
      <c r="C243">
        <v>2022</v>
      </c>
      <c r="D243" t="s">
        <v>15</v>
      </c>
      <c r="E243" t="s">
        <v>15</v>
      </c>
      <c r="F243">
        <v>15234.96</v>
      </c>
      <c r="G243">
        <v>14990.95</v>
      </c>
      <c r="H243">
        <v>244.01</v>
      </c>
      <c r="J243" t="s">
        <v>42</v>
      </c>
    </row>
    <row r="244" spans="1:10" hidden="1" x14ac:dyDescent="0.35">
      <c r="A244" t="s">
        <v>70</v>
      </c>
      <c r="B244" t="s">
        <v>71</v>
      </c>
      <c r="C244">
        <v>2022</v>
      </c>
      <c r="D244" t="s">
        <v>16</v>
      </c>
      <c r="E244" t="s">
        <v>17</v>
      </c>
      <c r="F244">
        <v>18188.330000000002</v>
      </c>
      <c r="G244">
        <v>20523.5</v>
      </c>
      <c r="H244">
        <v>-2335.17</v>
      </c>
      <c r="J244" t="s">
        <v>42</v>
      </c>
    </row>
    <row r="245" spans="1:10" hidden="1" x14ac:dyDescent="0.35">
      <c r="A245" t="s">
        <v>70</v>
      </c>
      <c r="B245" t="s">
        <v>71</v>
      </c>
      <c r="C245">
        <v>2022</v>
      </c>
      <c r="D245" t="s">
        <v>18</v>
      </c>
      <c r="E245" t="s">
        <v>17</v>
      </c>
      <c r="F245">
        <v>4702.7299999999996</v>
      </c>
      <c r="G245">
        <v>5148.16</v>
      </c>
      <c r="H245">
        <v>-445.44</v>
      </c>
      <c r="J245" t="s">
        <v>42</v>
      </c>
    </row>
    <row r="246" spans="1:10" hidden="1" x14ac:dyDescent="0.35">
      <c r="A246" t="s">
        <v>70</v>
      </c>
      <c r="B246" t="s">
        <v>71</v>
      </c>
      <c r="C246">
        <v>2022</v>
      </c>
      <c r="D246" t="s">
        <v>19</v>
      </c>
      <c r="E246" t="s">
        <v>20</v>
      </c>
      <c r="F246">
        <v>14171.41</v>
      </c>
      <c r="G246">
        <v>13237.74</v>
      </c>
      <c r="H246">
        <v>933.67</v>
      </c>
      <c r="J246" t="s">
        <v>42</v>
      </c>
    </row>
    <row r="247" spans="1:10" hidden="1" x14ac:dyDescent="0.35">
      <c r="A247" t="s">
        <v>70</v>
      </c>
      <c r="B247" t="s">
        <v>71</v>
      </c>
      <c r="C247">
        <v>2022</v>
      </c>
      <c r="D247" t="s">
        <v>21</v>
      </c>
      <c r="E247" t="s">
        <v>13</v>
      </c>
      <c r="F247">
        <v>3522.1</v>
      </c>
      <c r="G247">
        <v>3149.25</v>
      </c>
      <c r="H247">
        <v>372.86</v>
      </c>
      <c r="J247" t="s">
        <v>42</v>
      </c>
    </row>
    <row r="248" spans="1:10" hidden="1" x14ac:dyDescent="0.35">
      <c r="A248" t="s">
        <v>70</v>
      </c>
      <c r="B248" t="s">
        <v>71</v>
      </c>
      <c r="C248">
        <v>2022</v>
      </c>
      <c r="D248" t="s">
        <v>22</v>
      </c>
      <c r="E248" t="s">
        <v>23</v>
      </c>
      <c r="F248">
        <v>7839.37</v>
      </c>
      <c r="G248">
        <v>8419.5</v>
      </c>
      <c r="H248">
        <v>-580.13</v>
      </c>
      <c r="J248" t="s">
        <v>42</v>
      </c>
    </row>
    <row r="249" spans="1:10" hidden="1" x14ac:dyDescent="0.35">
      <c r="A249" t="s">
        <v>70</v>
      </c>
      <c r="B249" t="s">
        <v>71</v>
      </c>
      <c r="C249">
        <v>2022</v>
      </c>
      <c r="D249" t="s">
        <v>24</v>
      </c>
      <c r="E249" t="s">
        <v>13</v>
      </c>
      <c r="F249">
        <v>4581.26</v>
      </c>
      <c r="G249">
        <v>4391.91</v>
      </c>
      <c r="H249">
        <v>189.35</v>
      </c>
      <c r="J249" t="s">
        <v>42</v>
      </c>
    </row>
    <row r="250" spans="1:10" hidden="1" x14ac:dyDescent="0.35">
      <c r="A250" t="s">
        <v>70</v>
      </c>
      <c r="B250" t="s">
        <v>71</v>
      </c>
      <c r="C250">
        <v>2022</v>
      </c>
      <c r="D250" t="s">
        <v>25</v>
      </c>
      <c r="E250" t="s">
        <v>13</v>
      </c>
      <c r="F250">
        <v>6011.01</v>
      </c>
      <c r="G250">
        <v>6103.96</v>
      </c>
      <c r="H250">
        <v>-92.95</v>
      </c>
      <c r="J250" t="s">
        <v>42</v>
      </c>
    </row>
    <row r="251" spans="1:10" hidden="1" x14ac:dyDescent="0.35">
      <c r="A251" t="s">
        <v>70</v>
      </c>
      <c r="B251" t="s">
        <v>71</v>
      </c>
      <c r="C251">
        <v>2022</v>
      </c>
      <c r="D251" t="s">
        <v>26</v>
      </c>
      <c r="E251" t="s">
        <v>17</v>
      </c>
      <c r="F251">
        <v>4546.57</v>
      </c>
      <c r="G251">
        <v>5112.09</v>
      </c>
      <c r="H251">
        <v>-565.52</v>
      </c>
      <c r="J251" t="s">
        <v>42</v>
      </c>
    </row>
    <row r="252" spans="1:10" hidden="1" x14ac:dyDescent="0.35">
      <c r="A252" t="s">
        <v>70</v>
      </c>
      <c r="B252" t="s">
        <v>71</v>
      </c>
      <c r="C252">
        <v>2022</v>
      </c>
      <c r="D252" t="s">
        <v>27</v>
      </c>
      <c r="E252" t="s">
        <v>13</v>
      </c>
      <c r="F252">
        <v>8708.15</v>
      </c>
      <c r="G252">
        <v>7554.22</v>
      </c>
      <c r="H252">
        <v>1153.93</v>
      </c>
      <c r="J252" t="s">
        <v>42</v>
      </c>
    </row>
    <row r="253" spans="1:10" hidden="1" x14ac:dyDescent="0.35">
      <c r="A253" t="s">
        <v>70</v>
      </c>
      <c r="B253" t="s">
        <v>71</v>
      </c>
      <c r="C253">
        <v>2022</v>
      </c>
      <c r="D253" t="s">
        <v>28</v>
      </c>
      <c r="E253" t="s">
        <v>20</v>
      </c>
      <c r="F253">
        <v>9461.25</v>
      </c>
      <c r="G253">
        <v>9053.51</v>
      </c>
      <c r="H253">
        <v>407.75</v>
      </c>
      <c r="J253" t="s">
        <v>42</v>
      </c>
    </row>
    <row r="254" spans="1:10" x14ac:dyDescent="0.35">
      <c r="A254" t="s">
        <v>72</v>
      </c>
      <c r="B254" t="s">
        <v>73</v>
      </c>
      <c r="C254">
        <v>2022</v>
      </c>
      <c r="D254" t="s">
        <v>12</v>
      </c>
      <c r="E254" t="s">
        <v>13</v>
      </c>
      <c r="F254">
        <v>79150.789999999994</v>
      </c>
      <c r="G254">
        <v>82360.38</v>
      </c>
      <c r="H254">
        <v>-3209.59</v>
      </c>
      <c r="J254" t="s">
        <v>49</v>
      </c>
    </row>
    <row r="255" spans="1:10" hidden="1" x14ac:dyDescent="0.35">
      <c r="A255" t="s">
        <v>72</v>
      </c>
      <c r="B255" t="s">
        <v>73</v>
      </c>
      <c r="C255">
        <v>2022</v>
      </c>
      <c r="D255" t="s">
        <v>15</v>
      </c>
      <c r="E255" t="s">
        <v>15</v>
      </c>
      <c r="F255">
        <v>18721.060000000001</v>
      </c>
      <c r="G255">
        <v>20111.12</v>
      </c>
      <c r="H255">
        <v>-1390.07</v>
      </c>
      <c r="J255" t="s">
        <v>49</v>
      </c>
    </row>
    <row r="256" spans="1:10" hidden="1" x14ac:dyDescent="0.35">
      <c r="A256" t="s">
        <v>72</v>
      </c>
      <c r="B256" t="s">
        <v>73</v>
      </c>
      <c r="C256">
        <v>2022</v>
      </c>
      <c r="D256" t="s">
        <v>16</v>
      </c>
      <c r="E256" t="s">
        <v>17</v>
      </c>
      <c r="F256">
        <v>19632.54</v>
      </c>
      <c r="G256">
        <v>21030.57</v>
      </c>
      <c r="H256">
        <v>-1398.03</v>
      </c>
      <c r="J256" t="s">
        <v>49</v>
      </c>
    </row>
    <row r="257" spans="1:10" hidden="1" x14ac:dyDescent="0.35">
      <c r="A257" t="s">
        <v>72</v>
      </c>
      <c r="B257" t="s">
        <v>73</v>
      </c>
      <c r="C257">
        <v>2022</v>
      </c>
      <c r="D257" t="s">
        <v>18</v>
      </c>
      <c r="E257" t="s">
        <v>17</v>
      </c>
      <c r="F257">
        <v>5271.33</v>
      </c>
      <c r="G257">
        <v>5292.6</v>
      </c>
      <c r="H257">
        <v>-21.27</v>
      </c>
      <c r="J257" t="s">
        <v>49</v>
      </c>
    </row>
    <row r="258" spans="1:10" hidden="1" x14ac:dyDescent="0.35">
      <c r="A258" t="s">
        <v>72</v>
      </c>
      <c r="B258" t="s">
        <v>73</v>
      </c>
      <c r="C258">
        <v>2022</v>
      </c>
      <c r="D258" t="s">
        <v>19</v>
      </c>
      <c r="E258" t="s">
        <v>20</v>
      </c>
      <c r="F258">
        <v>11601.41</v>
      </c>
      <c r="G258">
        <v>12509.68</v>
      </c>
      <c r="H258">
        <v>-908.27</v>
      </c>
      <c r="J258" t="s">
        <v>49</v>
      </c>
    </row>
    <row r="259" spans="1:10" hidden="1" x14ac:dyDescent="0.35">
      <c r="A259" t="s">
        <v>72</v>
      </c>
      <c r="B259" t="s">
        <v>73</v>
      </c>
      <c r="C259">
        <v>2022</v>
      </c>
      <c r="D259" t="s">
        <v>21</v>
      </c>
      <c r="E259" t="s">
        <v>13</v>
      </c>
      <c r="F259">
        <v>3282.56</v>
      </c>
      <c r="G259">
        <v>3095.5</v>
      </c>
      <c r="H259">
        <v>187.06</v>
      </c>
      <c r="J259" t="s">
        <v>49</v>
      </c>
    </row>
    <row r="260" spans="1:10" hidden="1" x14ac:dyDescent="0.35">
      <c r="A260" t="s">
        <v>72</v>
      </c>
      <c r="B260" t="s">
        <v>73</v>
      </c>
      <c r="C260">
        <v>2022</v>
      </c>
      <c r="D260" t="s">
        <v>22</v>
      </c>
      <c r="E260" t="s">
        <v>23</v>
      </c>
      <c r="F260">
        <v>7859.44</v>
      </c>
      <c r="G260">
        <v>8526.23</v>
      </c>
      <c r="H260">
        <v>-666.79</v>
      </c>
      <c r="J260" t="s">
        <v>49</v>
      </c>
    </row>
    <row r="261" spans="1:10" hidden="1" x14ac:dyDescent="0.35">
      <c r="A261" t="s">
        <v>72</v>
      </c>
      <c r="B261" t="s">
        <v>73</v>
      </c>
      <c r="C261">
        <v>2022</v>
      </c>
      <c r="D261" t="s">
        <v>24</v>
      </c>
      <c r="E261" t="s">
        <v>13</v>
      </c>
      <c r="F261">
        <v>4465.7299999999996</v>
      </c>
      <c r="G261">
        <v>4212.5200000000004</v>
      </c>
      <c r="H261">
        <v>253.22</v>
      </c>
      <c r="J261" t="s">
        <v>49</v>
      </c>
    </row>
    <row r="262" spans="1:10" hidden="1" x14ac:dyDescent="0.35">
      <c r="A262" t="s">
        <v>72</v>
      </c>
      <c r="B262" t="s">
        <v>73</v>
      </c>
      <c r="C262">
        <v>2022</v>
      </c>
      <c r="D262" t="s">
        <v>25</v>
      </c>
      <c r="E262" t="s">
        <v>13</v>
      </c>
      <c r="F262">
        <v>6244.62</v>
      </c>
      <c r="G262">
        <v>5984.48</v>
      </c>
      <c r="H262">
        <v>260.14</v>
      </c>
      <c r="J262" t="s">
        <v>49</v>
      </c>
    </row>
    <row r="263" spans="1:10" hidden="1" x14ac:dyDescent="0.35">
      <c r="A263" t="s">
        <v>72</v>
      </c>
      <c r="B263" t="s">
        <v>73</v>
      </c>
      <c r="C263">
        <v>2022</v>
      </c>
      <c r="D263" t="s">
        <v>26</v>
      </c>
      <c r="E263" t="s">
        <v>17</v>
      </c>
      <c r="F263">
        <v>5380.52</v>
      </c>
      <c r="G263">
        <v>5145.6400000000003</v>
      </c>
      <c r="H263">
        <v>234.89</v>
      </c>
      <c r="J263" t="s">
        <v>49</v>
      </c>
    </row>
    <row r="264" spans="1:10" hidden="1" x14ac:dyDescent="0.35">
      <c r="A264" t="s">
        <v>72</v>
      </c>
      <c r="B264" t="s">
        <v>73</v>
      </c>
      <c r="C264">
        <v>2022</v>
      </c>
      <c r="D264" t="s">
        <v>27</v>
      </c>
      <c r="E264" t="s">
        <v>13</v>
      </c>
      <c r="F264">
        <v>6144.73</v>
      </c>
      <c r="G264">
        <v>7181.7</v>
      </c>
      <c r="H264">
        <v>-1036.97</v>
      </c>
      <c r="J264" t="s">
        <v>49</v>
      </c>
    </row>
    <row r="265" spans="1:10" hidden="1" x14ac:dyDescent="0.35">
      <c r="A265" t="s">
        <v>72</v>
      </c>
      <c r="B265" t="s">
        <v>73</v>
      </c>
      <c r="C265">
        <v>2022</v>
      </c>
      <c r="D265" t="s">
        <v>28</v>
      </c>
      <c r="E265" t="s">
        <v>20</v>
      </c>
      <c r="F265">
        <v>9023.17</v>
      </c>
      <c r="G265">
        <v>8988.59</v>
      </c>
      <c r="H265">
        <v>34.58</v>
      </c>
      <c r="J265" t="s">
        <v>49</v>
      </c>
    </row>
    <row r="266" spans="1:10" x14ac:dyDescent="0.35">
      <c r="A266" t="s">
        <v>74</v>
      </c>
      <c r="B266" t="s">
        <v>75</v>
      </c>
      <c r="C266">
        <v>2022</v>
      </c>
      <c r="D266" t="s">
        <v>12</v>
      </c>
      <c r="E266" t="s">
        <v>13</v>
      </c>
      <c r="F266">
        <v>78530.14</v>
      </c>
      <c r="G266">
        <v>84654.5</v>
      </c>
      <c r="H266">
        <v>-6124.36</v>
      </c>
      <c r="J266" t="s">
        <v>49</v>
      </c>
    </row>
    <row r="267" spans="1:10" hidden="1" x14ac:dyDescent="0.35">
      <c r="A267" t="s">
        <v>74</v>
      </c>
      <c r="B267" t="s">
        <v>75</v>
      </c>
      <c r="C267">
        <v>2022</v>
      </c>
      <c r="D267" t="s">
        <v>15</v>
      </c>
      <c r="E267" t="s">
        <v>15</v>
      </c>
      <c r="F267">
        <v>18093.55</v>
      </c>
      <c r="G267">
        <v>20867.259999999998</v>
      </c>
      <c r="H267">
        <v>-2773.71</v>
      </c>
      <c r="J267" t="s">
        <v>49</v>
      </c>
    </row>
    <row r="268" spans="1:10" hidden="1" x14ac:dyDescent="0.35">
      <c r="A268" t="s">
        <v>74</v>
      </c>
      <c r="B268" t="s">
        <v>75</v>
      </c>
      <c r="C268">
        <v>2022</v>
      </c>
      <c r="D268" t="s">
        <v>16</v>
      </c>
      <c r="E268" t="s">
        <v>17</v>
      </c>
      <c r="F268">
        <v>18927.900000000001</v>
      </c>
      <c r="G268">
        <v>20958.37</v>
      </c>
      <c r="H268">
        <v>-2030.47</v>
      </c>
      <c r="J268" t="s">
        <v>49</v>
      </c>
    </row>
    <row r="269" spans="1:10" hidden="1" x14ac:dyDescent="0.35">
      <c r="A269" t="s">
        <v>74</v>
      </c>
      <c r="B269" t="s">
        <v>75</v>
      </c>
      <c r="C269">
        <v>2022</v>
      </c>
      <c r="D269" t="s">
        <v>18</v>
      </c>
      <c r="E269" t="s">
        <v>17</v>
      </c>
      <c r="F269">
        <v>5166.8500000000004</v>
      </c>
      <c r="G269">
        <v>5147.34</v>
      </c>
      <c r="H269">
        <v>19.52</v>
      </c>
      <c r="J269" t="s">
        <v>49</v>
      </c>
    </row>
    <row r="270" spans="1:10" hidden="1" x14ac:dyDescent="0.35">
      <c r="A270" t="s">
        <v>74</v>
      </c>
      <c r="B270" t="s">
        <v>75</v>
      </c>
      <c r="C270">
        <v>2022</v>
      </c>
      <c r="D270" t="s">
        <v>19</v>
      </c>
      <c r="E270" t="s">
        <v>20</v>
      </c>
      <c r="F270">
        <v>11897.14</v>
      </c>
      <c r="G270">
        <v>12274.76</v>
      </c>
      <c r="H270">
        <v>-377.63</v>
      </c>
      <c r="J270" t="s">
        <v>49</v>
      </c>
    </row>
    <row r="271" spans="1:10" hidden="1" x14ac:dyDescent="0.35">
      <c r="A271" t="s">
        <v>74</v>
      </c>
      <c r="B271" t="s">
        <v>75</v>
      </c>
      <c r="C271">
        <v>2022</v>
      </c>
      <c r="D271" t="s">
        <v>21</v>
      </c>
      <c r="E271" t="s">
        <v>13</v>
      </c>
      <c r="F271">
        <v>3095.33</v>
      </c>
      <c r="G271">
        <v>3245.09</v>
      </c>
      <c r="H271">
        <v>-149.77000000000001</v>
      </c>
      <c r="J271" t="s">
        <v>49</v>
      </c>
    </row>
    <row r="272" spans="1:10" hidden="1" x14ac:dyDescent="0.35">
      <c r="A272" t="s">
        <v>74</v>
      </c>
      <c r="B272" t="s">
        <v>75</v>
      </c>
      <c r="C272">
        <v>2022</v>
      </c>
      <c r="D272" t="s">
        <v>22</v>
      </c>
      <c r="E272" t="s">
        <v>23</v>
      </c>
      <c r="F272">
        <v>7832.4</v>
      </c>
      <c r="G272">
        <v>8610.59</v>
      </c>
      <c r="H272">
        <v>-778.2</v>
      </c>
      <c r="J272" t="s">
        <v>49</v>
      </c>
    </row>
    <row r="273" spans="1:10" hidden="1" x14ac:dyDescent="0.35">
      <c r="A273" t="s">
        <v>74</v>
      </c>
      <c r="B273" t="s">
        <v>75</v>
      </c>
      <c r="C273">
        <v>2022</v>
      </c>
      <c r="D273" t="s">
        <v>24</v>
      </c>
      <c r="E273" t="s">
        <v>13</v>
      </c>
      <c r="F273">
        <v>4758.82</v>
      </c>
      <c r="G273">
        <v>4266.76</v>
      </c>
      <c r="H273">
        <v>492.07</v>
      </c>
      <c r="J273" t="s">
        <v>49</v>
      </c>
    </row>
    <row r="274" spans="1:10" hidden="1" x14ac:dyDescent="0.35">
      <c r="A274" t="s">
        <v>74</v>
      </c>
      <c r="B274" t="s">
        <v>75</v>
      </c>
      <c r="C274">
        <v>2022</v>
      </c>
      <c r="D274" t="s">
        <v>25</v>
      </c>
      <c r="E274" t="s">
        <v>13</v>
      </c>
      <c r="F274">
        <v>5461</v>
      </c>
      <c r="G274">
        <v>5832.86</v>
      </c>
      <c r="H274">
        <v>-371.85</v>
      </c>
      <c r="J274" t="s">
        <v>49</v>
      </c>
    </row>
    <row r="275" spans="1:10" hidden="1" x14ac:dyDescent="0.35">
      <c r="A275" t="s">
        <v>74</v>
      </c>
      <c r="B275" t="s">
        <v>75</v>
      </c>
      <c r="C275">
        <v>2022</v>
      </c>
      <c r="D275" t="s">
        <v>26</v>
      </c>
      <c r="E275" t="s">
        <v>17</v>
      </c>
      <c r="F275">
        <v>5254.13</v>
      </c>
      <c r="G275">
        <v>5340.89</v>
      </c>
      <c r="H275">
        <v>-86.76</v>
      </c>
      <c r="J275" t="s">
        <v>49</v>
      </c>
    </row>
    <row r="276" spans="1:10" hidden="1" x14ac:dyDescent="0.35">
      <c r="A276" t="s">
        <v>74</v>
      </c>
      <c r="B276" t="s">
        <v>75</v>
      </c>
      <c r="C276">
        <v>2022</v>
      </c>
      <c r="D276" t="s">
        <v>27</v>
      </c>
      <c r="E276" t="s">
        <v>13</v>
      </c>
      <c r="F276">
        <v>7072.74</v>
      </c>
      <c r="G276">
        <v>7431.84</v>
      </c>
      <c r="H276">
        <v>-359.1</v>
      </c>
      <c r="J276" t="s">
        <v>49</v>
      </c>
    </row>
    <row r="277" spans="1:10" hidden="1" x14ac:dyDescent="0.35">
      <c r="A277" t="s">
        <v>74</v>
      </c>
      <c r="B277" t="s">
        <v>75</v>
      </c>
      <c r="C277">
        <v>2022</v>
      </c>
      <c r="D277" t="s">
        <v>28</v>
      </c>
      <c r="E277" t="s">
        <v>20</v>
      </c>
      <c r="F277">
        <v>9356.5499999999993</v>
      </c>
      <c r="G277">
        <v>9474.5499999999993</v>
      </c>
      <c r="H277">
        <v>-118</v>
      </c>
      <c r="J277" t="s">
        <v>49</v>
      </c>
    </row>
    <row r="278" spans="1:10" x14ac:dyDescent="0.35">
      <c r="A278" t="s">
        <v>76</v>
      </c>
      <c r="B278" t="s">
        <v>77</v>
      </c>
      <c r="C278">
        <v>2022</v>
      </c>
      <c r="D278" t="s">
        <v>12</v>
      </c>
      <c r="E278" t="s">
        <v>13</v>
      </c>
      <c r="F278">
        <v>88712.42</v>
      </c>
      <c r="G278">
        <v>86942.81</v>
      </c>
      <c r="H278">
        <v>1769.61</v>
      </c>
      <c r="J278" t="s">
        <v>49</v>
      </c>
    </row>
    <row r="279" spans="1:10" hidden="1" x14ac:dyDescent="0.35">
      <c r="A279" t="s">
        <v>76</v>
      </c>
      <c r="B279" t="s">
        <v>77</v>
      </c>
      <c r="C279">
        <v>2022</v>
      </c>
      <c r="D279" t="s">
        <v>15</v>
      </c>
      <c r="E279" t="s">
        <v>15</v>
      </c>
      <c r="F279">
        <v>20000.89</v>
      </c>
      <c r="G279">
        <v>20682.37</v>
      </c>
      <c r="H279">
        <v>-681.49</v>
      </c>
      <c r="J279" t="s">
        <v>49</v>
      </c>
    </row>
    <row r="280" spans="1:10" hidden="1" x14ac:dyDescent="0.35">
      <c r="A280" t="s">
        <v>76</v>
      </c>
      <c r="B280" t="s">
        <v>77</v>
      </c>
      <c r="C280">
        <v>2022</v>
      </c>
      <c r="D280" t="s">
        <v>16</v>
      </c>
      <c r="E280" t="s">
        <v>17</v>
      </c>
      <c r="F280">
        <v>19976.740000000002</v>
      </c>
      <c r="G280">
        <v>20692.810000000001</v>
      </c>
      <c r="H280">
        <v>-716.07</v>
      </c>
      <c r="J280" t="s">
        <v>49</v>
      </c>
    </row>
    <row r="281" spans="1:10" hidden="1" x14ac:dyDescent="0.35">
      <c r="A281" t="s">
        <v>76</v>
      </c>
      <c r="B281" t="s">
        <v>77</v>
      </c>
      <c r="C281">
        <v>2022</v>
      </c>
      <c r="D281" t="s">
        <v>18</v>
      </c>
      <c r="E281" t="s">
        <v>17</v>
      </c>
      <c r="F281">
        <v>6416.53</v>
      </c>
      <c r="G281">
        <v>6640.16</v>
      </c>
      <c r="H281">
        <v>-223.63</v>
      </c>
      <c r="J281" t="s">
        <v>49</v>
      </c>
    </row>
    <row r="282" spans="1:10" hidden="1" x14ac:dyDescent="0.35">
      <c r="A282" t="s">
        <v>76</v>
      </c>
      <c r="B282" t="s">
        <v>77</v>
      </c>
      <c r="C282">
        <v>2022</v>
      </c>
      <c r="D282" t="s">
        <v>19</v>
      </c>
      <c r="E282" t="s">
        <v>20</v>
      </c>
      <c r="F282">
        <v>14819.73</v>
      </c>
      <c r="G282">
        <v>12709.53</v>
      </c>
      <c r="H282">
        <v>2110.19</v>
      </c>
      <c r="J282" t="s">
        <v>49</v>
      </c>
    </row>
    <row r="283" spans="1:10" hidden="1" x14ac:dyDescent="0.35">
      <c r="A283" t="s">
        <v>76</v>
      </c>
      <c r="B283" t="s">
        <v>77</v>
      </c>
      <c r="C283">
        <v>2022</v>
      </c>
      <c r="D283" t="s">
        <v>21</v>
      </c>
      <c r="E283" t="s">
        <v>13</v>
      </c>
      <c r="F283">
        <v>3148.02</v>
      </c>
      <c r="G283">
        <v>3232.32</v>
      </c>
      <c r="H283">
        <v>-84.31</v>
      </c>
      <c r="J283" t="s">
        <v>49</v>
      </c>
    </row>
    <row r="284" spans="1:10" hidden="1" x14ac:dyDescent="0.35">
      <c r="A284" t="s">
        <v>76</v>
      </c>
      <c r="B284" t="s">
        <v>77</v>
      </c>
      <c r="C284">
        <v>2022</v>
      </c>
      <c r="D284" t="s">
        <v>22</v>
      </c>
      <c r="E284" t="s">
        <v>23</v>
      </c>
      <c r="F284">
        <v>8418.6</v>
      </c>
      <c r="G284">
        <v>8702.7099999999991</v>
      </c>
      <c r="H284">
        <v>-284.11</v>
      </c>
      <c r="J284" t="s">
        <v>49</v>
      </c>
    </row>
    <row r="285" spans="1:10" hidden="1" x14ac:dyDescent="0.35">
      <c r="A285" t="s">
        <v>76</v>
      </c>
      <c r="B285" t="s">
        <v>77</v>
      </c>
      <c r="C285">
        <v>2022</v>
      </c>
      <c r="D285" t="s">
        <v>24</v>
      </c>
      <c r="E285" t="s">
        <v>13</v>
      </c>
      <c r="F285">
        <v>3625.19</v>
      </c>
      <c r="G285">
        <v>3943.2</v>
      </c>
      <c r="H285">
        <v>-318.01</v>
      </c>
      <c r="J285" t="s">
        <v>49</v>
      </c>
    </row>
    <row r="286" spans="1:10" hidden="1" x14ac:dyDescent="0.35">
      <c r="A286" t="s">
        <v>76</v>
      </c>
      <c r="B286" t="s">
        <v>77</v>
      </c>
      <c r="C286">
        <v>2022</v>
      </c>
      <c r="D286" t="s">
        <v>25</v>
      </c>
      <c r="E286" t="s">
        <v>13</v>
      </c>
      <c r="F286">
        <v>5779.2</v>
      </c>
      <c r="G286">
        <v>5946.42</v>
      </c>
      <c r="H286">
        <v>-167.22</v>
      </c>
      <c r="J286" t="s">
        <v>49</v>
      </c>
    </row>
    <row r="287" spans="1:10" hidden="1" x14ac:dyDescent="0.35">
      <c r="A287" t="s">
        <v>76</v>
      </c>
      <c r="B287" t="s">
        <v>77</v>
      </c>
      <c r="C287">
        <v>2022</v>
      </c>
      <c r="D287" t="s">
        <v>26</v>
      </c>
      <c r="E287" t="s">
        <v>17</v>
      </c>
      <c r="F287">
        <v>5957.39</v>
      </c>
      <c r="G287">
        <v>5252.9</v>
      </c>
      <c r="H287">
        <v>704.49</v>
      </c>
      <c r="J287" t="s">
        <v>49</v>
      </c>
    </row>
    <row r="288" spans="1:10" hidden="1" x14ac:dyDescent="0.35">
      <c r="A288" t="s">
        <v>76</v>
      </c>
      <c r="B288" t="s">
        <v>77</v>
      </c>
      <c r="C288">
        <v>2022</v>
      </c>
      <c r="D288" t="s">
        <v>27</v>
      </c>
      <c r="E288" t="s">
        <v>13</v>
      </c>
      <c r="F288">
        <v>7291.99</v>
      </c>
      <c r="G288">
        <v>7422.09</v>
      </c>
      <c r="H288">
        <v>-130.09</v>
      </c>
      <c r="J288" t="s">
        <v>49</v>
      </c>
    </row>
    <row r="289" spans="1:10" hidden="1" x14ac:dyDescent="0.35">
      <c r="A289" t="s">
        <v>76</v>
      </c>
      <c r="B289" t="s">
        <v>77</v>
      </c>
      <c r="C289">
        <v>2022</v>
      </c>
      <c r="D289" t="s">
        <v>28</v>
      </c>
      <c r="E289" t="s">
        <v>20</v>
      </c>
      <c r="F289">
        <v>7971.92</v>
      </c>
      <c r="G289">
        <v>9685.14</v>
      </c>
      <c r="H289">
        <v>-1713.21</v>
      </c>
      <c r="J289" t="s">
        <v>49</v>
      </c>
    </row>
    <row r="290" spans="1:10" x14ac:dyDescent="0.35">
      <c r="A290" t="s">
        <v>78</v>
      </c>
      <c r="B290" t="s">
        <v>79</v>
      </c>
      <c r="C290">
        <v>2023</v>
      </c>
      <c r="D290" t="s">
        <v>12</v>
      </c>
      <c r="E290" t="s">
        <v>13</v>
      </c>
      <c r="F290">
        <v>94301.11</v>
      </c>
      <c r="G290">
        <v>88823.44</v>
      </c>
      <c r="H290">
        <v>5477.67</v>
      </c>
      <c r="J290" t="s">
        <v>14</v>
      </c>
    </row>
    <row r="291" spans="1:10" hidden="1" x14ac:dyDescent="0.35">
      <c r="A291" t="s">
        <v>78</v>
      </c>
      <c r="B291" t="s">
        <v>79</v>
      </c>
      <c r="C291">
        <v>2023</v>
      </c>
      <c r="D291" t="s">
        <v>15</v>
      </c>
      <c r="E291" t="s">
        <v>15</v>
      </c>
      <c r="F291">
        <v>17250</v>
      </c>
      <c r="G291">
        <v>15803.94</v>
      </c>
      <c r="H291">
        <v>1446.07</v>
      </c>
      <c r="J291" t="s">
        <v>14</v>
      </c>
    </row>
    <row r="292" spans="1:10" hidden="1" x14ac:dyDescent="0.35">
      <c r="A292" t="s">
        <v>78</v>
      </c>
      <c r="B292" t="s">
        <v>79</v>
      </c>
      <c r="C292">
        <v>2023</v>
      </c>
      <c r="D292" t="s">
        <v>16</v>
      </c>
      <c r="E292" t="s">
        <v>17</v>
      </c>
      <c r="F292">
        <v>21533.91</v>
      </c>
      <c r="G292">
        <v>22273.919999999998</v>
      </c>
      <c r="H292">
        <v>-740.01</v>
      </c>
      <c r="J292" t="s">
        <v>14</v>
      </c>
    </row>
    <row r="293" spans="1:10" hidden="1" x14ac:dyDescent="0.35">
      <c r="A293" t="s">
        <v>78</v>
      </c>
      <c r="B293" t="s">
        <v>79</v>
      </c>
      <c r="C293">
        <v>2023</v>
      </c>
      <c r="D293" t="s">
        <v>18</v>
      </c>
      <c r="E293" t="s">
        <v>17</v>
      </c>
      <c r="F293">
        <v>8296.91</v>
      </c>
      <c r="G293">
        <v>7021.43</v>
      </c>
      <c r="H293">
        <v>1275.48</v>
      </c>
      <c r="J293" t="s">
        <v>14</v>
      </c>
    </row>
    <row r="294" spans="1:10" hidden="1" x14ac:dyDescent="0.35">
      <c r="A294" t="s">
        <v>78</v>
      </c>
      <c r="B294" t="s">
        <v>79</v>
      </c>
      <c r="C294">
        <v>2023</v>
      </c>
      <c r="D294" t="s">
        <v>19</v>
      </c>
      <c r="E294" t="s">
        <v>20</v>
      </c>
      <c r="F294">
        <v>13566.33</v>
      </c>
      <c r="G294">
        <v>13302.18</v>
      </c>
      <c r="H294">
        <v>264.14999999999998</v>
      </c>
      <c r="J294" t="s">
        <v>14</v>
      </c>
    </row>
    <row r="295" spans="1:10" hidden="1" x14ac:dyDescent="0.35">
      <c r="A295" t="s">
        <v>78</v>
      </c>
      <c r="B295" t="s">
        <v>79</v>
      </c>
      <c r="C295">
        <v>2023</v>
      </c>
      <c r="D295" t="s">
        <v>21</v>
      </c>
      <c r="E295" t="s">
        <v>13</v>
      </c>
      <c r="F295">
        <v>3040.15</v>
      </c>
      <c r="G295">
        <v>3261.92</v>
      </c>
      <c r="H295">
        <v>-221.77</v>
      </c>
      <c r="J295" t="s">
        <v>14</v>
      </c>
    </row>
    <row r="296" spans="1:10" hidden="1" x14ac:dyDescent="0.35">
      <c r="A296" t="s">
        <v>78</v>
      </c>
      <c r="B296" t="s">
        <v>79</v>
      </c>
      <c r="C296">
        <v>2023</v>
      </c>
      <c r="D296" t="s">
        <v>22</v>
      </c>
      <c r="E296" t="s">
        <v>23</v>
      </c>
      <c r="F296">
        <v>8420.61</v>
      </c>
      <c r="G296">
        <v>9039.7099999999991</v>
      </c>
      <c r="H296">
        <v>-619.1</v>
      </c>
      <c r="J296" t="s">
        <v>14</v>
      </c>
    </row>
    <row r="297" spans="1:10" hidden="1" x14ac:dyDescent="0.35">
      <c r="A297" t="s">
        <v>78</v>
      </c>
      <c r="B297" t="s">
        <v>79</v>
      </c>
      <c r="C297">
        <v>2023</v>
      </c>
      <c r="D297" t="s">
        <v>24</v>
      </c>
      <c r="E297" t="s">
        <v>13</v>
      </c>
      <c r="F297">
        <v>4250.59</v>
      </c>
      <c r="G297">
        <v>4419.47</v>
      </c>
      <c r="H297">
        <v>-168.88</v>
      </c>
      <c r="J297" t="s">
        <v>14</v>
      </c>
    </row>
    <row r="298" spans="1:10" hidden="1" x14ac:dyDescent="0.35">
      <c r="A298" t="s">
        <v>78</v>
      </c>
      <c r="B298" t="s">
        <v>79</v>
      </c>
      <c r="C298">
        <v>2023</v>
      </c>
      <c r="D298" t="s">
        <v>25</v>
      </c>
      <c r="E298" t="s">
        <v>13</v>
      </c>
      <c r="F298">
        <v>6889.16</v>
      </c>
      <c r="G298">
        <v>6710.05</v>
      </c>
      <c r="H298">
        <v>179.11</v>
      </c>
      <c r="J298" t="s">
        <v>14</v>
      </c>
    </row>
    <row r="299" spans="1:10" hidden="1" x14ac:dyDescent="0.35">
      <c r="A299" t="s">
        <v>78</v>
      </c>
      <c r="B299" t="s">
        <v>79</v>
      </c>
      <c r="C299">
        <v>2023</v>
      </c>
      <c r="D299" t="s">
        <v>26</v>
      </c>
      <c r="E299" t="s">
        <v>17</v>
      </c>
      <c r="F299">
        <v>5452.17</v>
      </c>
      <c r="G299">
        <v>5684.08</v>
      </c>
      <c r="H299">
        <v>-231.92</v>
      </c>
      <c r="J299" t="s">
        <v>14</v>
      </c>
    </row>
    <row r="300" spans="1:10" hidden="1" x14ac:dyDescent="0.35">
      <c r="A300" t="s">
        <v>78</v>
      </c>
      <c r="B300" t="s">
        <v>79</v>
      </c>
      <c r="C300">
        <v>2023</v>
      </c>
      <c r="D300" t="s">
        <v>27</v>
      </c>
      <c r="E300" t="s">
        <v>13</v>
      </c>
      <c r="F300">
        <v>7055.62</v>
      </c>
      <c r="G300">
        <v>7655.02</v>
      </c>
      <c r="H300">
        <v>-599.4</v>
      </c>
      <c r="J300" t="s">
        <v>14</v>
      </c>
    </row>
    <row r="301" spans="1:10" hidden="1" x14ac:dyDescent="0.35">
      <c r="A301" t="s">
        <v>78</v>
      </c>
      <c r="B301" t="s">
        <v>79</v>
      </c>
      <c r="C301">
        <v>2023</v>
      </c>
      <c r="D301" t="s">
        <v>28</v>
      </c>
      <c r="E301" t="s">
        <v>20</v>
      </c>
      <c r="F301">
        <v>10085.75</v>
      </c>
      <c r="G301">
        <v>9790.25</v>
      </c>
      <c r="H301">
        <v>295.51</v>
      </c>
      <c r="J301" t="s">
        <v>14</v>
      </c>
    </row>
    <row r="302" spans="1:10" x14ac:dyDescent="0.35">
      <c r="A302" t="s">
        <v>80</v>
      </c>
      <c r="B302" t="s">
        <v>81</v>
      </c>
      <c r="C302">
        <v>2023</v>
      </c>
      <c r="D302" t="s">
        <v>12</v>
      </c>
      <c r="E302" t="s">
        <v>13</v>
      </c>
      <c r="F302">
        <v>83548.429999999993</v>
      </c>
      <c r="G302">
        <v>90202.99</v>
      </c>
      <c r="H302">
        <v>-6654.57</v>
      </c>
      <c r="J302" t="s">
        <v>14</v>
      </c>
    </row>
    <row r="303" spans="1:10" hidden="1" x14ac:dyDescent="0.35">
      <c r="A303" t="s">
        <v>80</v>
      </c>
      <c r="B303" t="s">
        <v>81</v>
      </c>
      <c r="C303">
        <v>2023</v>
      </c>
      <c r="D303" t="s">
        <v>15</v>
      </c>
      <c r="E303" t="s">
        <v>15</v>
      </c>
      <c r="F303">
        <v>18809.23</v>
      </c>
      <c r="G303">
        <v>16968.93</v>
      </c>
      <c r="H303">
        <v>1840.3</v>
      </c>
      <c r="J303" t="s">
        <v>14</v>
      </c>
    </row>
    <row r="304" spans="1:10" hidden="1" x14ac:dyDescent="0.35">
      <c r="A304" t="s">
        <v>80</v>
      </c>
      <c r="B304" t="s">
        <v>81</v>
      </c>
      <c r="C304">
        <v>2023</v>
      </c>
      <c r="D304" t="s">
        <v>16</v>
      </c>
      <c r="E304" t="s">
        <v>17</v>
      </c>
      <c r="F304">
        <v>25675.22</v>
      </c>
      <c r="G304">
        <v>22323.49</v>
      </c>
      <c r="H304">
        <v>3351.73</v>
      </c>
      <c r="J304" t="s">
        <v>14</v>
      </c>
    </row>
    <row r="305" spans="1:10" hidden="1" x14ac:dyDescent="0.35">
      <c r="A305" t="s">
        <v>80</v>
      </c>
      <c r="B305" t="s">
        <v>81</v>
      </c>
      <c r="C305">
        <v>2023</v>
      </c>
      <c r="D305" t="s">
        <v>18</v>
      </c>
      <c r="E305" t="s">
        <v>17</v>
      </c>
      <c r="F305">
        <v>6060.48</v>
      </c>
      <c r="G305">
        <v>6730.67</v>
      </c>
      <c r="H305">
        <v>-670.19</v>
      </c>
      <c r="J305" t="s">
        <v>14</v>
      </c>
    </row>
    <row r="306" spans="1:10" hidden="1" x14ac:dyDescent="0.35">
      <c r="A306" t="s">
        <v>80</v>
      </c>
      <c r="B306" t="s">
        <v>81</v>
      </c>
      <c r="C306">
        <v>2023</v>
      </c>
      <c r="D306" t="s">
        <v>19</v>
      </c>
      <c r="E306" t="s">
        <v>20</v>
      </c>
      <c r="F306">
        <v>14022.95</v>
      </c>
      <c r="G306">
        <v>12524.03</v>
      </c>
      <c r="H306">
        <v>1498.92</v>
      </c>
      <c r="J306" t="s">
        <v>14</v>
      </c>
    </row>
    <row r="307" spans="1:10" hidden="1" x14ac:dyDescent="0.35">
      <c r="A307" t="s">
        <v>80</v>
      </c>
      <c r="B307" t="s">
        <v>81</v>
      </c>
      <c r="C307">
        <v>2023</v>
      </c>
      <c r="D307" t="s">
        <v>21</v>
      </c>
      <c r="E307" t="s">
        <v>13</v>
      </c>
      <c r="F307">
        <v>3357.43</v>
      </c>
      <c r="G307">
        <v>3372.43</v>
      </c>
      <c r="H307">
        <v>-15</v>
      </c>
      <c r="J307" t="s">
        <v>14</v>
      </c>
    </row>
    <row r="308" spans="1:10" hidden="1" x14ac:dyDescent="0.35">
      <c r="A308" t="s">
        <v>80</v>
      </c>
      <c r="B308" t="s">
        <v>81</v>
      </c>
      <c r="C308">
        <v>2023</v>
      </c>
      <c r="D308" t="s">
        <v>22</v>
      </c>
      <c r="E308" t="s">
        <v>23</v>
      </c>
      <c r="F308">
        <v>8093.26</v>
      </c>
      <c r="G308">
        <v>8894.08</v>
      </c>
      <c r="H308">
        <v>-800.82</v>
      </c>
      <c r="J308" t="s">
        <v>14</v>
      </c>
    </row>
    <row r="309" spans="1:10" hidden="1" x14ac:dyDescent="0.35">
      <c r="A309" t="s">
        <v>80</v>
      </c>
      <c r="B309" t="s">
        <v>81</v>
      </c>
      <c r="C309">
        <v>2023</v>
      </c>
      <c r="D309" t="s">
        <v>24</v>
      </c>
      <c r="E309" t="s">
        <v>13</v>
      </c>
      <c r="F309">
        <v>4782.51</v>
      </c>
      <c r="G309">
        <v>4733.57</v>
      </c>
      <c r="H309">
        <v>48.93</v>
      </c>
      <c r="J309" t="s">
        <v>14</v>
      </c>
    </row>
    <row r="310" spans="1:10" hidden="1" x14ac:dyDescent="0.35">
      <c r="A310" t="s">
        <v>80</v>
      </c>
      <c r="B310" t="s">
        <v>81</v>
      </c>
      <c r="C310">
        <v>2023</v>
      </c>
      <c r="D310" t="s">
        <v>25</v>
      </c>
      <c r="E310" t="s">
        <v>13</v>
      </c>
      <c r="F310">
        <v>7022.05</v>
      </c>
      <c r="G310">
        <v>6636.71</v>
      </c>
      <c r="H310">
        <v>385.34</v>
      </c>
      <c r="J310" t="s">
        <v>14</v>
      </c>
    </row>
    <row r="311" spans="1:10" hidden="1" x14ac:dyDescent="0.35">
      <c r="A311" t="s">
        <v>80</v>
      </c>
      <c r="B311" t="s">
        <v>81</v>
      </c>
      <c r="C311">
        <v>2023</v>
      </c>
      <c r="D311" t="s">
        <v>26</v>
      </c>
      <c r="E311" t="s">
        <v>17</v>
      </c>
      <c r="F311">
        <v>5692.2</v>
      </c>
      <c r="G311">
        <v>5592.05</v>
      </c>
      <c r="H311">
        <v>100.16</v>
      </c>
      <c r="J311" t="s">
        <v>14</v>
      </c>
    </row>
    <row r="312" spans="1:10" hidden="1" x14ac:dyDescent="0.35">
      <c r="A312" t="s">
        <v>80</v>
      </c>
      <c r="B312" t="s">
        <v>81</v>
      </c>
      <c r="C312">
        <v>2023</v>
      </c>
      <c r="D312" t="s">
        <v>27</v>
      </c>
      <c r="E312" t="s">
        <v>13</v>
      </c>
      <c r="F312">
        <v>7818.67</v>
      </c>
      <c r="G312">
        <v>7534.49</v>
      </c>
      <c r="H312">
        <v>284.18</v>
      </c>
      <c r="J312" t="s">
        <v>14</v>
      </c>
    </row>
    <row r="313" spans="1:10" hidden="1" x14ac:dyDescent="0.35">
      <c r="A313" t="s">
        <v>80</v>
      </c>
      <c r="B313" t="s">
        <v>81</v>
      </c>
      <c r="C313">
        <v>2023</v>
      </c>
      <c r="D313" t="s">
        <v>28</v>
      </c>
      <c r="E313" t="s">
        <v>20</v>
      </c>
      <c r="F313">
        <v>11611.03</v>
      </c>
      <c r="G313">
        <v>10482.73</v>
      </c>
      <c r="H313">
        <v>1128.29</v>
      </c>
      <c r="J313" t="s">
        <v>14</v>
      </c>
    </row>
    <row r="314" spans="1:10" x14ac:dyDescent="0.35">
      <c r="A314" t="s">
        <v>82</v>
      </c>
      <c r="B314" t="s">
        <v>83</v>
      </c>
      <c r="C314">
        <v>2023</v>
      </c>
      <c r="D314" t="s">
        <v>12</v>
      </c>
      <c r="E314" t="s">
        <v>13</v>
      </c>
      <c r="F314">
        <v>88636.03</v>
      </c>
      <c r="G314">
        <v>92415.57</v>
      </c>
      <c r="H314">
        <v>-3779.54</v>
      </c>
      <c r="J314" t="s">
        <v>14</v>
      </c>
    </row>
    <row r="315" spans="1:10" hidden="1" x14ac:dyDescent="0.35">
      <c r="A315" t="s">
        <v>82</v>
      </c>
      <c r="B315" t="s">
        <v>83</v>
      </c>
      <c r="C315">
        <v>2023</v>
      </c>
      <c r="D315" t="s">
        <v>15</v>
      </c>
      <c r="E315" t="s">
        <v>15</v>
      </c>
      <c r="F315">
        <v>15885.06</v>
      </c>
      <c r="G315">
        <v>16046.53</v>
      </c>
      <c r="H315">
        <v>-161.47999999999999</v>
      </c>
      <c r="J315" t="s">
        <v>14</v>
      </c>
    </row>
    <row r="316" spans="1:10" hidden="1" x14ac:dyDescent="0.35">
      <c r="A316" t="s">
        <v>82</v>
      </c>
      <c r="B316" t="s">
        <v>83</v>
      </c>
      <c r="C316">
        <v>2023</v>
      </c>
      <c r="D316" t="s">
        <v>16</v>
      </c>
      <c r="E316" t="s">
        <v>17</v>
      </c>
      <c r="F316">
        <v>24020.240000000002</v>
      </c>
      <c r="G316">
        <v>22086.86</v>
      </c>
      <c r="H316">
        <v>1933.38</v>
      </c>
      <c r="J316" t="s">
        <v>14</v>
      </c>
    </row>
    <row r="317" spans="1:10" hidden="1" x14ac:dyDescent="0.35">
      <c r="A317" t="s">
        <v>82</v>
      </c>
      <c r="B317" t="s">
        <v>83</v>
      </c>
      <c r="C317">
        <v>2023</v>
      </c>
      <c r="D317" t="s">
        <v>18</v>
      </c>
      <c r="E317" t="s">
        <v>17</v>
      </c>
      <c r="F317">
        <v>5872.89</v>
      </c>
      <c r="G317">
        <v>5232.6099999999997</v>
      </c>
      <c r="H317">
        <v>640.28</v>
      </c>
      <c r="J317" t="s">
        <v>14</v>
      </c>
    </row>
    <row r="318" spans="1:10" hidden="1" x14ac:dyDescent="0.35">
      <c r="A318" t="s">
        <v>82</v>
      </c>
      <c r="B318" t="s">
        <v>83</v>
      </c>
      <c r="C318">
        <v>2023</v>
      </c>
      <c r="D318" t="s">
        <v>19</v>
      </c>
      <c r="E318" t="s">
        <v>20</v>
      </c>
      <c r="F318">
        <v>12717.62</v>
      </c>
      <c r="G318">
        <v>13167.29</v>
      </c>
      <c r="H318">
        <v>-449.67</v>
      </c>
      <c r="J318" t="s">
        <v>14</v>
      </c>
    </row>
    <row r="319" spans="1:10" hidden="1" x14ac:dyDescent="0.35">
      <c r="A319" t="s">
        <v>82</v>
      </c>
      <c r="B319" t="s">
        <v>83</v>
      </c>
      <c r="C319">
        <v>2023</v>
      </c>
      <c r="D319" t="s">
        <v>21</v>
      </c>
      <c r="E319" t="s">
        <v>13</v>
      </c>
      <c r="F319">
        <v>2782.49</v>
      </c>
      <c r="G319">
        <v>3207.07</v>
      </c>
      <c r="H319">
        <v>-424.58</v>
      </c>
      <c r="J319" t="s">
        <v>14</v>
      </c>
    </row>
    <row r="320" spans="1:10" hidden="1" x14ac:dyDescent="0.35">
      <c r="A320" t="s">
        <v>82</v>
      </c>
      <c r="B320" t="s">
        <v>83</v>
      </c>
      <c r="C320">
        <v>2023</v>
      </c>
      <c r="D320" t="s">
        <v>22</v>
      </c>
      <c r="E320" t="s">
        <v>23</v>
      </c>
      <c r="F320">
        <v>9090.82</v>
      </c>
      <c r="G320">
        <v>9037.81</v>
      </c>
      <c r="H320">
        <v>53.01</v>
      </c>
      <c r="J320" t="s">
        <v>14</v>
      </c>
    </row>
    <row r="321" spans="1:10" hidden="1" x14ac:dyDescent="0.35">
      <c r="A321" t="s">
        <v>82</v>
      </c>
      <c r="B321" t="s">
        <v>83</v>
      </c>
      <c r="C321">
        <v>2023</v>
      </c>
      <c r="D321" t="s">
        <v>24</v>
      </c>
      <c r="E321" t="s">
        <v>13</v>
      </c>
      <c r="F321">
        <v>3800.12</v>
      </c>
      <c r="G321">
        <v>4239.34</v>
      </c>
      <c r="H321">
        <v>-439.22</v>
      </c>
      <c r="J321" t="s">
        <v>14</v>
      </c>
    </row>
    <row r="322" spans="1:10" hidden="1" x14ac:dyDescent="0.35">
      <c r="A322" t="s">
        <v>82</v>
      </c>
      <c r="B322" t="s">
        <v>83</v>
      </c>
      <c r="C322">
        <v>2023</v>
      </c>
      <c r="D322" t="s">
        <v>25</v>
      </c>
      <c r="E322" t="s">
        <v>13</v>
      </c>
      <c r="F322">
        <v>7422.71</v>
      </c>
      <c r="G322">
        <v>6548.36</v>
      </c>
      <c r="H322">
        <v>874.35</v>
      </c>
      <c r="J322" t="s">
        <v>14</v>
      </c>
    </row>
    <row r="323" spans="1:10" hidden="1" x14ac:dyDescent="0.35">
      <c r="A323" t="s">
        <v>82</v>
      </c>
      <c r="B323" t="s">
        <v>83</v>
      </c>
      <c r="C323">
        <v>2023</v>
      </c>
      <c r="D323" t="s">
        <v>26</v>
      </c>
      <c r="E323" t="s">
        <v>17</v>
      </c>
      <c r="F323">
        <v>4811.8500000000004</v>
      </c>
      <c r="G323">
        <v>5469.57</v>
      </c>
      <c r="H323">
        <v>-657.72</v>
      </c>
      <c r="J323" t="s">
        <v>14</v>
      </c>
    </row>
    <row r="324" spans="1:10" hidden="1" x14ac:dyDescent="0.35">
      <c r="A324" t="s">
        <v>82</v>
      </c>
      <c r="B324" t="s">
        <v>83</v>
      </c>
      <c r="C324">
        <v>2023</v>
      </c>
      <c r="D324" t="s">
        <v>27</v>
      </c>
      <c r="E324" t="s">
        <v>13</v>
      </c>
      <c r="F324">
        <v>7493.47</v>
      </c>
      <c r="G324">
        <v>7660.6</v>
      </c>
      <c r="H324">
        <v>-167.14</v>
      </c>
      <c r="J324" t="s">
        <v>14</v>
      </c>
    </row>
    <row r="325" spans="1:10" hidden="1" x14ac:dyDescent="0.35">
      <c r="A325" t="s">
        <v>82</v>
      </c>
      <c r="B325" t="s">
        <v>83</v>
      </c>
      <c r="C325">
        <v>2023</v>
      </c>
      <c r="D325" t="s">
        <v>28</v>
      </c>
      <c r="E325" t="s">
        <v>20</v>
      </c>
      <c r="F325">
        <v>9080.09</v>
      </c>
      <c r="G325">
        <v>9119.7000000000007</v>
      </c>
      <c r="H325">
        <v>-39.61</v>
      </c>
      <c r="J325" t="s">
        <v>14</v>
      </c>
    </row>
    <row r="326" spans="1:10" x14ac:dyDescent="0.35">
      <c r="A326" t="s">
        <v>84</v>
      </c>
      <c r="B326" t="s">
        <v>85</v>
      </c>
      <c r="C326">
        <v>2023</v>
      </c>
      <c r="D326" t="s">
        <v>12</v>
      </c>
      <c r="E326" t="s">
        <v>13</v>
      </c>
      <c r="F326">
        <v>92467.35</v>
      </c>
      <c r="G326">
        <v>87588.95</v>
      </c>
      <c r="H326">
        <v>4878.3999999999996</v>
      </c>
      <c r="J326" t="s">
        <v>35</v>
      </c>
    </row>
    <row r="327" spans="1:10" hidden="1" x14ac:dyDescent="0.35">
      <c r="A327" t="s">
        <v>84</v>
      </c>
      <c r="B327" t="s">
        <v>85</v>
      </c>
      <c r="C327">
        <v>2023</v>
      </c>
      <c r="D327" t="s">
        <v>15</v>
      </c>
      <c r="E327" t="s">
        <v>15</v>
      </c>
      <c r="F327">
        <v>19027.93</v>
      </c>
      <c r="G327">
        <v>17454.810000000001</v>
      </c>
      <c r="H327">
        <v>1573.12</v>
      </c>
      <c r="J327" t="s">
        <v>35</v>
      </c>
    </row>
    <row r="328" spans="1:10" hidden="1" x14ac:dyDescent="0.35">
      <c r="A328" t="s">
        <v>84</v>
      </c>
      <c r="B328" t="s">
        <v>85</v>
      </c>
      <c r="C328">
        <v>2023</v>
      </c>
      <c r="D328" t="s">
        <v>16</v>
      </c>
      <c r="E328" t="s">
        <v>17</v>
      </c>
      <c r="F328">
        <v>19935.96</v>
      </c>
      <c r="G328">
        <v>21872.13</v>
      </c>
      <c r="H328">
        <v>-1936.17</v>
      </c>
      <c r="J328" t="s">
        <v>35</v>
      </c>
    </row>
    <row r="329" spans="1:10" hidden="1" x14ac:dyDescent="0.35">
      <c r="A329" t="s">
        <v>84</v>
      </c>
      <c r="B329" t="s">
        <v>85</v>
      </c>
      <c r="C329">
        <v>2023</v>
      </c>
      <c r="D329" t="s">
        <v>18</v>
      </c>
      <c r="E329" t="s">
        <v>17</v>
      </c>
      <c r="F329">
        <v>5966.2</v>
      </c>
      <c r="G329">
        <v>5938.07</v>
      </c>
      <c r="H329">
        <v>28.13</v>
      </c>
      <c r="J329" t="s">
        <v>35</v>
      </c>
    </row>
    <row r="330" spans="1:10" hidden="1" x14ac:dyDescent="0.35">
      <c r="A330" t="s">
        <v>84</v>
      </c>
      <c r="B330" t="s">
        <v>85</v>
      </c>
      <c r="C330">
        <v>2023</v>
      </c>
      <c r="D330" t="s">
        <v>19</v>
      </c>
      <c r="E330" t="s">
        <v>20</v>
      </c>
      <c r="F330">
        <v>13209.98</v>
      </c>
      <c r="G330">
        <v>13235.53</v>
      </c>
      <c r="H330">
        <v>-25.54</v>
      </c>
      <c r="J330" t="s">
        <v>35</v>
      </c>
    </row>
    <row r="331" spans="1:10" hidden="1" x14ac:dyDescent="0.35">
      <c r="A331" t="s">
        <v>84</v>
      </c>
      <c r="B331" t="s">
        <v>85</v>
      </c>
      <c r="C331">
        <v>2023</v>
      </c>
      <c r="D331" t="s">
        <v>21</v>
      </c>
      <c r="E331" t="s">
        <v>13</v>
      </c>
      <c r="F331">
        <v>3288.73</v>
      </c>
      <c r="G331">
        <v>3327.15</v>
      </c>
      <c r="H331">
        <v>-38.42</v>
      </c>
      <c r="J331" t="s">
        <v>35</v>
      </c>
    </row>
    <row r="332" spans="1:10" hidden="1" x14ac:dyDescent="0.35">
      <c r="A332" t="s">
        <v>84</v>
      </c>
      <c r="B332" t="s">
        <v>85</v>
      </c>
      <c r="C332">
        <v>2023</v>
      </c>
      <c r="D332" t="s">
        <v>22</v>
      </c>
      <c r="E332" t="s">
        <v>23</v>
      </c>
      <c r="F332">
        <v>8288.99</v>
      </c>
      <c r="G332">
        <v>8668.2099999999991</v>
      </c>
      <c r="H332">
        <v>-379.22</v>
      </c>
      <c r="J332" t="s">
        <v>35</v>
      </c>
    </row>
    <row r="333" spans="1:10" hidden="1" x14ac:dyDescent="0.35">
      <c r="A333" t="s">
        <v>84</v>
      </c>
      <c r="B333" t="s">
        <v>85</v>
      </c>
      <c r="C333">
        <v>2023</v>
      </c>
      <c r="D333" t="s">
        <v>24</v>
      </c>
      <c r="E333" t="s">
        <v>13</v>
      </c>
      <c r="F333">
        <v>4214.13</v>
      </c>
      <c r="G333">
        <v>4405.67</v>
      </c>
      <c r="H333">
        <v>-191.53</v>
      </c>
      <c r="J333" t="s">
        <v>35</v>
      </c>
    </row>
    <row r="334" spans="1:10" hidden="1" x14ac:dyDescent="0.35">
      <c r="A334" t="s">
        <v>84</v>
      </c>
      <c r="B334" t="s">
        <v>85</v>
      </c>
      <c r="C334">
        <v>2023</v>
      </c>
      <c r="D334" t="s">
        <v>25</v>
      </c>
      <c r="E334" t="s">
        <v>13</v>
      </c>
      <c r="F334">
        <v>6528.65</v>
      </c>
      <c r="G334">
        <v>6473.54</v>
      </c>
      <c r="H334">
        <v>55.12</v>
      </c>
      <c r="J334" t="s">
        <v>35</v>
      </c>
    </row>
    <row r="335" spans="1:10" hidden="1" x14ac:dyDescent="0.35">
      <c r="A335" t="s">
        <v>84</v>
      </c>
      <c r="B335" t="s">
        <v>85</v>
      </c>
      <c r="C335">
        <v>2023</v>
      </c>
      <c r="D335" t="s">
        <v>26</v>
      </c>
      <c r="E335" t="s">
        <v>17</v>
      </c>
      <c r="F335">
        <v>6128.52</v>
      </c>
      <c r="G335">
        <v>5470.33</v>
      </c>
      <c r="H335">
        <v>658.19</v>
      </c>
      <c r="J335" t="s">
        <v>35</v>
      </c>
    </row>
    <row r="336" spans="1:10" hidden="1" x14ac:dyDescent="0.35">
      <c r="A336" t="s">
        <v>84</v>
      </c>
      <c r="B336" t="s">
        <v>85</v>
      </c>
      <c r="C336">
        <v>2023</v>
      </c>
      <c r="D336" t="s">
        <v>27</v>
      </c>
      <c r="E336" t="s">
        <v>13</v>
      </c>
      <c r="F336">
        <v>7724.04</v>
      </c>
      <c r="G336">
        <v>7103.73</v>
      </c>
      <c r="H336">
        <v>620.29999999999995</v>
      </c>
      <c r="J336" t="s">
        <v>35</v>
      </c>
    </row>
    <row r="337" spans="1:10" hidden="1" x14ac:dyDescent="0.35">
      <c r="A337" t="s">
        <v>84</v>
      </c>
      <c r="B337" t="s">
        <v>85</v>
      </c>
      <c r="C337">
        <v>2023</v>
      </c>
      <c r="D337" t="s">
        <v>28</v>
      </c>
      <c r="E337" t="s">
        <v>20</v>
      </c>
      <c r="F337">
        <v>8586.0400000000009</v>
      </c>
      <c r="G337">
        <v>10293.43</v>
      </c>
      <c r="H337">
        <v>-1707.38</v>
      </c>
      <c r="J337" t="s">
        <v>35</v>
      </c>
    </row>
    <row r="338" spans="1:10" x14ac:dyDescent="0.35">
      <c r="A338" t="s">
        <v>86</v>
      </c>
      <c r="B338" t="s">
        <v>87</v>
      </c>
      <c r="C338">
        <v>2023</v>
      </c>
      <c r="D338" t="s">
        <v>12</v>
      </c>
      <c r="E338" t="s">
        <v>13</v>
      </c>
      <c r="F338">
        <v>84699.31</v>
      </c>
      <c r="G338">
        <v>87293.25</v>
      </c>
      <c r="H338">
        <v>-2593.94</v>
      </c>
      <c r="J338" t="s">
        <v>35</v>
      </c>
    </row>
    <row r="339" spans="1:10" hidden="1" x14ac:dyDescent="0.35">
      <c r="A339" t="s">
        <v>86</v>
      </c>
      <c r="B339" t="s">
        <v>87</v>
      </c>
      <c r="C339">
        <v>2023</v>
      </c>
      <c r="D339" t="s">
        <v>15</v>
      </c>
      <c r="E339" t="s">
        <v>15</v>
      </c>
      <c r="F339">
        <v>14853.6</v>
      </c>
      <c r="G339">
        <v>15839.2</v>
      </c>
      <c r="H339">
        <v>-985.6</v>
      </c>
      <c r="J339" t="s">
        <v>35</v>
      </c>
    </row>
    <row r="340" spans="1:10" hidden="1" x14ac:dyDescent="0.35">
      <c r="A340" t="s">
        <v>86</v>
      </c>
      <c r="B340" t="s">
        <v>87</v>
      </c>
      <c r="C340">
        <v>2023</v>
      </c>
      <c r="D340" t="s">
        <v>16</v>
      </c>
      <c r="E340" t="s">
        <v>17</v>
      </c>
      <c r="F340">
        <v>24303.38</v>
      </c>
      <c r="G340">
        <v>21315.35</v>
      </c>
      <c r="H340">
        <v>2988.02</v>
      </c>
      <c r="J340" t="s">
        <v>35</v>
      </c>
    </row>
    <row r="341" spans="1:10" hidden="1" x14ac:dyDescent="0.35">
      <c r="A341" t="s">
        <v>86</v>
      </c>
      <c r="B341" t="s">
        <v>87</v>
      </c>
      <c r="C341">
        <v>2023</v>
      </c>
      <c r="D341" t="s">
        <v>18</v>
      </c>
      <c r="E341" t="s">
        <v>17</v>
      </c>
      <c r="F341">
        <v>6243.73</v>
      </c>
      <c r="G341">
        <v>5667.24</v>
      </c>
      <c r="H341">
        <v>576.5</v>
      </c>
      <c r="J341" t="s">
        <v>35</v>
      </c>
    </row>
    <row r="342" spans="1:10" hidden="1" x14ac:dyDescent="0.35">
      <c r="A342" t="s">
        <v>86</v>
      </c>
      <c r="B342" t="s">
        <v>87</v>
      </c>
      <c r="C342">
        <v>2023</v>
      </c>
      <c r="D342" t="s">
        <v>19</v>
      </c>
      <c r="E342" t="s">
        <v>20</v>
      </c>
      <c r="F342">
        <v>12295.57</v>
      </c>
      <c r="G342">
        <v>13516.43</v>
      </c>
      <c r="H342">
        <v>-1220.8599999999999</v>
      </c>
      <c r="J342" t="s">
        <v>35</v>
      </c>
    </row>
    <row r="343" spans="1:10" hidden="1" x14ac:dyDescent="0.35">
      <c r="A343" t="s">
        <v>86</v>
      </c>
      <c r="B343" t="s">
        <v>87</v>
      </c>
      <c r="C343">
        <v>2023</v>
      </c>
      <c r="D343" t="s">
        <v>21</v>
      </c>
      <c r="E343" t="s">
        <v>13</v>
      </c>
      <c r="F343">
        <v>3382.91</v>
      </c>
      <c r="G343">
        <v>3255.45</v>
      </c>
      <c r="H343">
        <v>127.45</v>
      </c>
      <c r="J343" t="s">
        <v>35</v>
      </c>
    </row>
    <row r="344" spans="1:10" hidden="1" x14ac:dyDescent="0.35">
      <c r="A344" t="s">
        <v>86</v>
      </c>
      <c r="B344" t="s">
        <v>87</v>
      </c>
      <c r="C344">
        <v>2023</v>
      </c>
      <c r="D344" t="s">
        <v>22</v>
      </c>
      <c r="E344" t="s">
        <v>23</v>
      </c>
      <c r="F344">
        <v>8981.27</v>
      </c>
      <c r="G344">
        <v>8496.6200000000008</v>
      </c>
      <c r="H344">
        <v>484.65</v>
      </c>
      <c r="J344" t="s">
        <v>35</v>
      </c>
    </row>
    <row r="345" spans="1:10" hidden="1" x14ac:dyDescent="0.35">
      <c r="A345" t="s">
        <v>86</v>
      </c>
      <c r="B345" t="s">
        <v>87</v>
      </c>
      <c r="C345">
        <v>2023</v>
      </c>
      <c r="D345" t="s">
        <v>24</v>
      </c>
      <c r="E345" t="s">
        <v>13</v>
      </c>
      <c r="F345">
        <v>4246.92</v>
      </c>
      <c r="G345">
        <v>4378.2</v>
      </c>
      <c r="H345">
        <v>-131.28</v>
      </c>
      <c r="J345" t="s">
        <v>35</v>
      </c>
    </row>
    <row r="346" spans="1:10" hidden="1" x14ac:dyDescent="0.35">
      <c r="A346" t="s">
        <v>86</v>
      </c>
      <c r="B346" t="s">
        <v>87</v>
      </c>
      <c r="C346">
        <v>2023</v>
      </c>
      <c r="D346" t="s">
        <v>25</v>
      </c>
      <c r="E346" t="s">
        <v>13</v>
      </c>
      <c r="F346">
        <v>6996.21</v>
      </c>
      <c r="G346">
        <v>6756.09</v>
      </c>
      <c r="H346">
        <v>240.12</v>
      </c>
      <c r="J346" t="s">
        <v>35</v>
      </c>
    </row>
    <row r="347" spans="1:10" hidden="1" x14ac:dyDescent="0.35">
      <c r="A347" t="s">
        <v>86</v>
      </c>
      <c r="B347" t="s">
        <v>87</v>
      </c>
      <c r="C347">
        <v>2023</v>
      </c>
      <c r="D347" t="s">
        <v>26</v>
      </c>
      <c r="E347" t="s">
        <v>17</v>
      </c>
      <c r="F347">
        <v>5958.53</v>
      </c>
      <c r="G347">
        <v>5452.81</v>
      </c>
      <c r="H347">
        <v>505.73</v>
      </c>
      <c r="J347" t="s">
        <v>35</v>
      </c>
    </row>
    <row r="348" spans="1:10" hidden="1" x14ac:dyDescent="0.35">
      <c r="A348" t="s">
        <v>86</v>
      </c>
      <c r="B348" t="s">
        <v>87</v>
      </c>
      <c r="C348">
        <v>2023</v>
      </c>
      <c r="D348" t="s">
        <v>27</v>
      </c>
      <c r="E348" t="s">
        <v>13</v>
      </c>
      <c r="F348">
        <v>7835.15</v>
      </c>
      <c r="G348">
        <v>7467.21</v>
      </c>
      <c r="H348">
        <v>367.95</v>
      </c>
      <c r="J348" t="s">
        <v>35</v>
      </c>
    </row>
    <row r="349" spans="1:10" hidden="1" x14ac:dyDescent="0.35">
      <c r="A349" t="s">
        <v>86</v>
      </c>
      <c r="B349" t="s">
        <v>87</v>
      </c>
      <c r="C349">
        <v>2023</v>
      </c>
      <c r="D349" t="s">
        <v>28</v>
      </c>
      <c r="E349" t="s">
        <v>20</v>
      </c>
      <c r="F349">
        <v>9848.9599999999991</v>
      </c>
      <c r="G349">
        <v>10099.049999999999</v>
      </c>
      <c r="H349">
        <v>-250.09</v>
      </c>
      <c r="J349" t="s">
        <v>35</v>
      </c>
    </row>
    <row r="350" spans="1:10" x14ac:dyDescent="0.35">
      <c r="A350" t="s">
        <v>88</v>
      </c>
      <c r="B350" t="s">
        <v>89</v>
      </c>
      <c r="C350">
        <v>2023</v>
      </c>
      <c r="D350" t="s">
        <v>12</v>
      </c>
      <c r="E350" t="s">
        <v>13</v>
      </c>
      <c r="F350">
        <v>80148.72</v>
      </c>
      <c r="G350">
        <v>89062.95</v>
      </c>
      <c r="H350">
        <v>-8914.23</v>
      </c>
      <c r="J350" t="s">
        <v>35</v>
      </c>
    </row>
    <row r="351" spans="1:10" hidden="1" x14ac:dyDescent="0.35">
      <c r="A351" t="s">
        <v>88</v>
      </c>
      <c r="B351" t="s">
        <v>89</v>
      </c>
      <c r="C351">
        <v>2023</v>
      </c>
      <c r="D351" t="s">
        <v>15</v>
      </c>
      <c r="E351" t="s">
        <v>15</v>
      </c>
      <c r="F351">
        <v>16744.53</v>
      </c>
      <c r="G351">
        <v>16995.93</v>
      </c>
      <c r="H351">
        <v>-251.41</v>
      </c>
      <c r="J351" t="s">
        <v>35</v>
      </c>
    </row>
    <row r="352" spans="1:10" hidden="1" x14ac:dyDescent="0.35">
      <c r="A352" t="s">
        <v>88</v>
      </c>
      <c r="B352" t="s">
        <v>89</v>
      </c>
      <c r="C352">
        <v>2023</v>
      </c>
      <c r="D352" t="s">
        <v>16</v>
      </c>
      <c r="E352" t="s">
        <v>17</v>
      </c>
      <c r="F352">
        <v>23525.65</v>
      </c>
      <c r="G352">
        <v>21704.22</v>
      </c>
      <c r="H352">
        <v>1821.43</v>
      </c>
      <c r="J352" t="s">
        <v>35</v>
      </c>
    </row>
    <row r="353" spans="1:10" hidden="1" x14ac:dyDescent="0.35">
      <c r="A353" t="s">
        <v>88</v>
      </c>
      <c r="B353" t="s">
        <v>89</v>
      </c>
      <c r="C353">
        <v>2023</v>
      </c>
      <c r="D353" t="s">
        <v>18</v>
      </c>
      <c r="E353" t="s">
        <v>17</v>
      </c>
      <c r="F353">
        <v>4788.01</v>
      </c>
      <c r="G353">
        <v>5396.02</v>
      </c>
      <c r="H353">
        <v>-608.01</v>
      </c>
      <c r="J353" t="s">
        <v>35</v>
      </c>
    </row>
    <row r="354" spans="1:10" hidden="1" x14ac:dyDescent="0.35">
      <c r="A354" t="s">
        <v>88</v>
      </c>
      <c r="B354" t="s">
        <v>89</v>
      </c>
      <c r="C354">
        <v>2023</v>
      </c>
      <c r="D354" t="s">
        <v>19</v>
      </c>
      <c r="E354" t="s">
        <v>20</v>
      </c>
      <c r="F354">
        <v>13223.62</v>
      </c>
      <c r="G354">
        <v>12612.17</v>
      </c>
      <c r="H354">
        <v>611.45000000000005</v>
      </c>
      <c r="J354" t="s">
        <v>35</v>
      </c>
    </row>
    <row r="355" spans="1:10" hidden="1" x14ac:dyDescent="0.35">
      <c r="A355" t="s">
        <v>88</v>
      </c>
      <c r="B355" t="s">
        <v>89</v>
      </c>
      <c r="C355">
        <v>2023</v>
      </c>
      <c r="D355" t="s">
        <v>21</v>
      </c>
      <c r="E355" t="s">
        <v>13</v>
      </c>
      <c r="F355">
        <v>3626.93</v>
      </c>
      <c r="G355">
        <v>3180.45</v>
      </c>
      <c r="H355">
        <v>446.48</v>
      </c>
      <c r="J355" t="s">
        <v>35</v>
      </c>
    </row>
    <row r="356" spans="1:10" hidden="1" x14ac:dyDescent="0.35">
      <c r="A356" t="s">
        <v>88</v>
      </c>
      <c r="B356" t="s">
        <v>89</v>
      </c>
      <c r="C356">
        <v>2023</v>
      </c>
      <c r="D356" t="s">
        <v>22</v>
      </c>
      <c r="E356" t="s">
        <v>23</v>
      </c>
      <c r="F356">
        <v>13147.93</v>
      </c>
      <c r="G356">
        <v>11576.77</v>
      </c>
      <c r="H356">
        <v>1571.16</v>
      </c>
      <c r="J356" t="s">
        <v>35</v>
      </c>
    </row>
    <row r="357" spans="1:10" hidden="1" x14ac:dyDescent="0.35">
      <c r="A357" t="s">
        <v>88</v>
      </c>
      <c r="B357" t="s">
        <v>89</v>
      </c>
      <c r="C357">
        <v>2023</v>
      </c>
      <c r="D357" t="s">
        <v>24</v>
      </c>
      <c r="E357" t="s">
        <v>13</v>
      </c>
      <c r="F357">
        <v>4403.58</v>
      </c>
      <c r="G357">
        <v>4437.92</v>
      </c>
      <c r="H357">
        <v>-34.340000000000003</v>
      </c>
      <c r="J357" t="s">
        <v>35</v>
      </c>
    </row>
    <row r="358" spans="1:10" hidden="1" x14ac:dyDescent="0.35">
      <c r="A358" t="s">
        <v>88</v>
      </c>
      <c r="B358" t="s">
        <v>89</v>
      </c>
      <c r="C358">
        <v>2023</v>
      </c>
      <c r="D358" t="s">
        <v>25</v>
      </c>
      <c r="E358" t="s">
        <v>13</v>
      </c>
      <c r="F358">
        <v>6714.63</v>
      </c>
      <c r="G358">
        <v>6506.86</v>
      </c>
      <c r="H358">
        <v>207.77</v>
      </c>
      <c r="J358" t="s">
        <v>35</v>
      </c>
    </row>
    <row r="359" spans="1:10" hidden="1" x14ac:dyDescent="0.35">
      <c r="A359" t="s">
        <v>88</v>
      </c>
      <c r="B359" t="s">
        <v>89</v>
      </c>
      <c r="C359">
        <v>2023</v>
      </c>
      <c r="D359" t="s">
        <v>26</v>
      </c>
      <c r="E359" t="s">
        <v>17</v>
      </c>
      <c r="F359">
        <v>5992.28</v>
      </c>
      <c r="G359">
        <v>5506.28</v>
      </c>
      <c r="H359">
        <v>486.01</v>
      </c>
      <c r="J359" t="s">
        <v>35</v>
      </c>
    </row>
    <row r="360" spans="1:10" hidden="1" x14ac:dyDescent="0.35">
      <c r="A360" t="s">
        <v>88</v>
      </c>
      <c r="B360" t="s">
        <v>89</v>
      </c>
      <c r="C360">
        <v>2023</v>
      </c>
      <c r="D360" t="s">
        <v>27</v>
      </c>
      <c r="E360" t="s">
        <v>13</v>
      </c>
      <c r="F360">
        <v>7837.06</v>
      </c>
      <c r="G360">
        <v>7743.95</v>
      </c>
      <c r="H360">
        <v>93.11</v>
      </c>
      <c r="J360" t="s">
        <v>35</v>
      </c>
    </row>
    <row r="361" spans="1:10" hidden="1" x14ac:dyDescent="0.35">
      <c r="A361" t="s">
        <v>88</v>
      </c>
      <c r="B361" t="s">
        <v>89</v>
      </c>
      <c r="C361">
        <v>2023</v>
      </c>
      <c r="D361" t="s">
        <v>28</v>
      </c>
      <c r="E361" t="s">
        <v>20</v>
      </c>
      <c r="F361">
        <v>9769.5499999999993</v>
      </c>
      <c r="G361">
        <v>9814.26</v>
      </c>
      <c r="H361">
        <v>-44.71</v>
      </c>
      <c r="J361" t="s">
        <v>35</v>
      </c>
    </row>
    <row r="362" spans="1:10" x14ac:dyDescent="0.35">
      <c r="A362" t="s">
        <v>90</v>
      </c>
      <c r="B362" t="s">
        <v>91</v>
      </c>
      <c r="C362">
        <v>2023</v>
      </c>
      <c r="D362" t="s">
        <v>12</v>
      </c>
      <c r="E362" t="s">
        <v>13</v>
      </c>
      <c r="F362">
        <v>83183.25</v>
      </c>
      <c r="G362">
        <v>89014.44</v>
      </c>
      <c r="H362">
        <v>-5831.2</v>
      </c>
      <c r="J362" t="s">
        <v>42</v>
      </c>
    </row>
    <row r="363" spans="1:10" hidden="1" x14ac:dyDescent="0.35">
      <c r="A363" t="s">
        <v>90</v>
      </c>
      <c r="B363" t="s">
        <v>91</v>
      </c>
      <c r="C363">
        <v>2023</v>
      </c>
      <c r="D363" t="s">
        <v>15</v>
      </c>
      <c r="E363" t="s">
        <v>15</v>
      </c>
      <c r="F363">
        <v>16775.73</v>
      </c>
      <c r="G363">
        <v>15868.63</v>
      </c>
      <c r="H363">
        <v>907.1</v>
      </c>
      <c r="J363" t="s">
        <v>42</v>
      </c>
    </row>
    <row r="364" spans="1:10" hidden="1" x14ac:dyDescent="0.35">
      <c r="A364" t="s">
        <v>90</v>
      </c>
      <c r="B364" t="s">
        <v>91</v>
      </c>
      <c r="C364">
        <v>2023</v>
      </c>
      <c r="D364" t="s">
        <v>16</v>
      </c>
      <c r="E364" t="s">
        <v>17</v>
      </c>
      <c r="F364">
        <v>22402.41</v>
      </c>
      <c r="G364">
        <v>22163.03</v>
      </c>
      <c r="H364">
        <v>239.38</v>
      </c>
      <c r="J364" t="s">
        <v>42</v>
      </c>
    </row>
    <row r="365" spans="1:10" hidden="1" x14ac:dyDescent="0.35">
      <c r="A365" t="s">
        <v>90</v>
      </c>
      <c r="B365" t="s">
        <v>91</v>
      </c>
      <c r="C365">
        <v>2023</v>
      </c>
      <c r="D365" t="s">
        <v>18</v>
      </c>
      <c r="E365" t="s">
        <v>17</v>
      </c>
      <c r="F365">
        <v>5721.71</v>
      </c>
      <c r="G365">
        <v>5515.55</v>
      </c>
      <c r="H365">
        <v>206.17</v>
      </c>
      <c r="J365" t="s">
        <v>42</v>
      </c>
    </row>
    <row r="366" spans="1:10" hidden="1" x14ac:dyDescent="0.35">
      <c r="A366" t="s">
        <v>90</v>
      </c>
      <c r="B366" t="s">
        <v>91</v>
      </c>
      <c r="C366">
        <v>2023</v>
      </c>
      <c r="D366" t="s">
        <v>19</v>
      </c>
      <c r="E366" t="s">
        <v>20</v>
      </c>
      <c r="F366">
        <v>12769.57</v>
      </c>
      <c r="G366">
        <v>13015.77</v>
      </c>
      <c r="H366">
        <v>-246.2</v>
      </c>
      <c r="J366" t="s">
        <v>42</v>
      </c>
    </row>
    <row r="367" spans="1:10" hidden="1" x14ac:dyDescent="0.35">
      <c r="A367" t="s">
        <v>90</v>
      </c>
      <c r="B367" t="s">
        <v>91</v>
      </c>
      <c r="C367">
        <v>2023</v>
      </c>
      <c r="D367" t="s">
        <v>21</v>
      </c>
      <c r="E367" t="s">
        <v>13</v>
      </c>
      <c r="F367">
        <v>3230.72</v>
      </c>
      <c r="G367">
        <v>3326.93</v>
      </c>
      <c r="H367">
        <v>-96.21</v>
      </c>
      <c r="J367" t="s">
        <v>42</v>
      </c>
    </row>
    <row r="368" spans="1:10" hidden="1" x14ac:dyDescent="0.35">
      <c r="A368" t="s">
        <v>90</v>
      </c>
      <c r="B368" t="s">
        <v>91</v>
      </c>
      <c r="C368">
        <v>2023</v>
      </c>
      <c r="D368" t="s">
        <v>22</v>
      </c>
      <c r="E368" t="s">
        <v>23</v>
      </c>
      <c r="F368">
        <v>11685.17</v>
      </c>
      <c r="G368">
        <v>12499.23</v>
      </c>
      <c r="H368">
        <v>-814.06</v>
      </c>
      <c r="J368" t="s">
        <v>42</v>
      </c>
    </row>
    <row r="369" spans="1:10" hidden="1" x14ac:dyDescent="0.35">
      <c r="A369" t="s">
        <v>90</v>
      </c>
      <c r="B369" t="s">
        <v>91</v>
      </c>
      <c r="C369">
        <v>2023</v>
      </c>
      <c r="D369" t="s">
        <v>24</v>
      </c>
      <c r="E369" t="s">
        <v>13</v>
      </c>
      <c r="F369">
        <v>4744.51</v>
      </c>
      <c r="G369">
        <v>4546.16</v>
      </c>
      <c r="H369">
        <v>198.35</v>
      </c>
      <c r="J369" t="s">
        <v>42</v>
      </c>
    </row>
    <row r="370" spans="1:10" hidden="1" x14ac:dyDescent="0.35">
      <c r="A370" t="s">
        <v>90</v>
      </c>
      <c r="B370" t="s">
        <v>91</v>
      </c>
      <c r="C370">
        <v>2023</v>
      </c>
      <c r="D370" t="s">
        <v>25</v>
      </c>
      <c r="E370" t="s">
        <v>13</v>
      </c>
      <c r="F370">
        <v>7126.65</v>
      </c>
      <c r="G370">
        <v>6665.81</v>
      </c>
      <c r="H370">
        <v>460.84</v>
      </c>
      <c r="J370" t="s">
        <v>42</v>
      </c>
    </row>
    <row r="371" spans="1:10" hidden="1" x14ac:dyDescent="0.35">
      <c r="A371" t="s">
        <v>90</v>
      </c>
      <c r="B371" t="s">
        <v>91</v>
      </c>
      <c r="C371">
        <v>2023</v>
      </c>
      <c r="D371" t="s">
        <v>26</v>
      </c>
      <c r="E371" t="s">
        <v>17</v>
      </c>
      <c r="F371">
        <v>6197.24</v>
      </c>
      <c r="G371">
        <v>5787.93</v>
      </c>
      <c r="H371">
        <v>409.31</v>
      </c>
      <c r="J371" t="s">
        <v>42</v>
      </c>
    </row>
    <row r="372" spans="1:10" hidden="1" x14ac:dyDescent="0.35">
      <c r="A372" t="s">
        <v>90</v>
      </c>
      <c r="B372" t="s">
        <v>91</v>
      </c>
      <c r="C372">
        <v>2023</v>
      </c>
      <c r="D372" t="s">
        <v>27</v>
      </c>
      <c r="E372" t="s">
        <v>13</v>
      </c>
      <c r="F372">
        <v>6970.63</v>
      </c>
      <c r="G372">
        <v>7291.29</v>
      </c>
      <c r="H372">
        <v>-320.66000000000003</v>
      </c>
      <c r="J372" t="s">
        <v>42</v>
      </c>
    </row>
    <row r="373" spans="1:10" hidden="1" x14ac:dyDescent="0.35">
      <c r="A373" t="s">
        <v>90</v>
      </c>
      <c r="B373" t="s">
        <v>91</v>
      </c>
      <c r="C373">
        <v>2023</v>
      </c>
      <c r="D373" t="s">
        <v>28</v>
      </c>
      <c r="E373" t="s">
        <v>20</v>
      </c>
      <c r="F373">
        <v>9943.94</v>
      </c>
      <c r="G373">
        <v>9736.51</v>
      </c>
      <c r="H373">
        <v>207.43</v>
      </c>
      <c r="J373" t="s">
        <v>42</v>
      </c>
    </row>
    <row r="374" spans="1:10" x14ac:dyDescent="0.35">
      <c r="A374" t="s">
        <v>92</v>
      </c>
      <c r="B374" t="s">
        <v>93</v>
      </c>
      <c r="C374">
        <v>2023</v>
      </c>
      <c r="D374" t="s">
        <v>12</v>
      </c>
      <c r="E374" t="s">
        <v>13</v>
      </c>
      <c r="F374">
        <v>88110.89</v>
      </c>
      <c r="G374">
        <v>89569.73</v>
      </c>
      <c r="H374">
        <v>-1458.84</v>
      </c>
      <c r="J374" t="s">
        <v>42</v>
      </c>
    </row>
    <row r="375" spans="1:10" hidden="1" x14ac:dyDescent="0.35">
      <c r="A375" t="s">
        <v>92</v>
      </c>
      <c r="B375" t="s">
        <v>93</v>
      </c>
      <c r="C375">
        <v>2023</v>
      </c>
      <c r="D375" t="s">
        <v>15</v>
      </c>
      <c r="E375" t="s">
        <v>15</v>
      </c>
      <c r="F375">
        <v>16334.66</v>
      </c>
      <c r="G375">
        <v>16630.16</v>
      </c>
      <c r="H375">
        <v>-295.5</v>
      </c>
      <c r="J375" t="s">
        <v>42</v>
      </c>
    </row>
    <row r="376" spans="1:10" hidden="1" x14ac:dyDescent="0.35">
      <c r="A376" t="s">
        <v>92</v>
      </c>
      <c r="B376" t="s">
        <v>93</v>
      </c>
      <c r="C376">
        <v>2023</v>
      </c>
      <c r="D376" t="s">
        <v>16</v>
      </c>
      <c r="E376" t="s">
        <v>17</v>
      </c>
      <c r="F376">
        <v>20556</v>
      </c>
      <c r="G376">
        <v>21645.48</v>
      </c>
      <c r="H376">
        <v>-1089.48</v>
      </c>
      <c r="J376" t="s">
        <v>42</v>
      </c>
    </row>
    <row r="377" spans="1:10" hidden="1" x14ac:dyDescent="0.35">
      <c r="A377" t="s">
        <v>92</v>
      </c>
      <c r="B377" t="s">
        <v>93</v>
      </c>
      <c r="C377">
        <v>2023</v>
      </c>
      <c r="D377" t="s">
        <v>18</v>
      </c>
      <c r="E377" t="s">
        <v>17</v>
      </c>
      <c r="F377">
        <v>5104.78</v>
      </c>
      <c r="G377">
        <v>5359.82</v>
      </c>
      <c r="H377">
        <v>-255.04</v>
      </c>
      <c r="J377" t="s">
        <v>42</v>
      </c>
    </row>
    <row r="378" spans="1:10" hidden="1" x14ac:dyDescent="0.35">
      <c r="A378" t="s">
        <v>92</v>
      </c>
      <c r="B378" t="s">
        <v>93</v>
      </c>
      <c r="C378">
        <v>2023</v>
      </c>
      <c r="D378" t="s">
        <v>19</v>
      </c>
      <c r="E378" t="s">
        <v>20</v>
      </c>
      <c r="F378">
        <v>13776.11</v>
      </c>
      <c r="G378">
        <v>12842.68</v>
      </c>
      <c r="H378">
        <v>933.43</v>
      </c>
      <c r="J378" t="s">
        <v>42</v>
      </c>
    </row>
    <row r="379" spans="1:10" hidden="1" x14ac:dyDescent="0.35">
      <c r="A379" t="s">
        <v>92</v>
      </c>
      <c r="B379" t="s">
        <v>93</v>
      </c>
      <c r="C379">
        <v>2023</v>
      </c>
      <c r="D379" t="s">
        <v>21</v>
      </c>
      <c r="E379" t="s">
        <v>13</v>
      </c>
      <c r="F379">
        <v>3700.49</v>
      </c>
      <c r="G379">
        <v>3213.3</v>
      </c>
      <c r="H379">
        <v>487.2</v>
      </c>
      <c r="J379" t="s">
        <v>42</v>
      </c>
    </row>
    <row r="380" spans="1:10" hidden="1" x14ac:dyDescent="0.35">
      <c r="A380" t="s">
        <v>92</v>
      </c>
      <c r="B380" t="s">
        <v>93</v>
      </c>
      <c r="C380">
        <v>2023</v>
      </c>
      <c r="D380" t="s">
        <v>22</v>
      </c>
      <c r="E380" t="s">
        <v>23</v>
      </c>
      <c r="F380">
        <v>12897.17</v>
      </c>
      <c r="G380">
        <v>12530.74</v>
      </c>
      <c r="H380">
        <v>366.42</v>
      </c>
      <c r="J380" t="s">
        <v>42</v>
      </c>
    </row>
    <row r="381" spans="1:10" hidden="1" x14ac:dyDescent="0.35">
      <c r="A381" t="s">
        <v>92</v>
      </c>
      <c r="B381" t="s">
        <v>93</v>
      </c>
      <c r="C381">
        <v>2023</v>
      </c>
      <c r="D381" t="s">
        <v>24</v>
      </c>
      <c r="E381" t="s">
        <v>13</v>
      </c>
      <c r="F381">
        <v>4532.8100000000004</v>
      </c>
      <c r="G381">
        <v>4296.4399999999996</v>
      </c>
      <c r="H381">
        <v>236.37</v>
      </c>
      <c r="J381" t="s">
        <v>42</v>
      </c>
    </row>
    <row r="382" spans="1:10" hidden="1" x14ac:dyDescent="0.35">
      <c r="A382" t="s">
        <v>92</v>
      </c>
      <c r="B382" t="s">
        <v>93</v>
      </c>
      <c r="C382">
        <v>2023</v>
      </c>
      <c r="D382" t="s">
        <v>25</v>
      </c>
      <c r="E382" t="s">
        <v>13</v>
      </c>
      <c r="F382">
        <v>6670.44</v>
      </c>
      <c r="G382">
        <v>6500.76</v>
      </c>
      <c r="H382">
        <v>169.67</v>
      </c>
      <c r="J382" t="s">
        <v>42</v>
      </c>
    </row>
    <row r="383" spans="1:10" hidden="1" x14ac:dyDescent="0.35">
      <c r="A383" t="s">
        <v>92</v>
      </c>
      <c r="B383" t="s">
        <v>93</v>
      </c>
      <c r="C383">
        <v>2023</v>
      </c>
      <c r="D383" t="s">
        <v>26</v>
      </c>
      <c r="E383" t="s">
        <v>17</v>
      </c>
      <c r="F383">
        <v>6026.08</v>
      </c>
      <c r="G383">
        <v>5935.87</v>
      </c>
      <c r="H383">
        <v>90.21</v>
      </c>
      <c r="J383" t="s">
        <v>42</v>
      </c>
    </row>
    <row r="384" spans="1:10" hidden="1" x14ac:dyDescent="0.35">
      <c r="A384" t="s">
        <v>92</v>
      </c>
      <c r="B384" t="s">
        <v>93</v>
      </c>
      <c r="C384">
        <v>2023</v>
      </c>
      <c r="D384" t="s">
        <v>27</v>
      </c>
      <c r="E384" t="s">
        <v>13</v>
      </c>
      <c r="F384">
        <v>7862.56</v>
      </c>
      <c r="G384">
        <v>7983.59</v>
      </c>
      <c r="H384">
        <v>-121.02</v>
      </c>
      <c r="J384" t="s">
        <v>42</v>
      </c>
    </row>
    <row r="385" spans="1:10" hidden="1" x14ac:dyDescent="0.35">
      <c r="A385" t="s">
        <v>92</v>
      </c>
      <c r="B385" t="s">
        <v>93</v>
      </c>
      <c r="C385">
        <v>2023</v>
      </c>
      <c r="D385" t="s">
        <v>28</v>
      </c>
      <c r="E385" t="s">
        <v>20</v>
      </c>
      <c r="F385">
        <v>10987.94</v>
      </c>
      <c r="G385">
        <v>9912.08</v>
      </c>
      <c r="H385">
        <v>1075.8599999999999</v>
      </c>
      <c r="J385" t="s">
        <v>42</v>
      </c>
    </row>
    <row r="386" spans="1:10" x14ac:dyDescent="0.35">
      <c r="A386" t="s">
        <v>94</v>
      </c>
      <c r="B386" t="s">
        <v>95</v>
      </c>
      <c r="C386">
        <v>2023</v>
      </c>
      <c r="D386" t="s">
        <v>12</v>
      </c>
      <c r="E386" t="s">
        <v>13</v>
      </c>
      <c r="F386">
        <v>96114.43</v>
      </c>
      <c r="G386">
        <v>86541.05</v>
      </c>
      <c r="H386">
        <v>9573.3799999999992</v>
      </c>
      <c r="J386" t="s">
        <v>42</v>
      </c>
    </row>
    <row r="387" spans="1:10" hidden="1" x14ac:dyDescent="0.35">
      <c r="A387" t="s">
        <v>94</v>
      </c>
      <c r="B387" t="s">
        <v>95</v>
      </c>
      <c r="C387">
        <v>2023</v>
      </c>
      <c r="D387" t="s">
        <v>15</v>
      </c>
      <c r="E387" t="s">
        <v>15</v>
      </c>
      <c r="F387">
        <v>16751.439999999999</v>
      </c>
      <c r="G387">
        <v>16888.63</v>
      </c>
      <c r="H387">
        <v>-137.19</v>
      </c>
      <c r="J387" t="s">
        <v>42</v>
      </c>
    </row>
    <row r="388" spans="1:10" hidden="1" x14ac:dyDescent="0.35">
      <c r="A388" t="s">
        <v>94</v>
      </c>
      <c r="B388" t="s">
        <v>95</v>
      </c>
      <c r="C388">
        <v>2023</v>
      </c>
      <c r="D388" t="s">
        <v>16</v>
      </c>
      <c r="E388" t="s">
        <v>17</v>
      </c>
      <c r="F388">
        <v>24010.29</v>
      </c>
      <c r="G388">
        <v>22468.34</v>
      </c>
      <c r="H388">
        <v>1541.95</v>
      </c>
      <c r="J388" t="s">
        <v>42</v>
      </c>
    </row>
    <row r="389" spans="1:10" hidden="1" x14ac:dyDescent="0.35">
      <c r="A389" t="s">
        <v>94</v>
      </c>
      <c r="B389" t="s">
        <v>95</v>
      </c>
      <c r="C389">
        <v>2023</v>
      </c>
      <c r="D389" t="s">
        <v>18</v>
      </c>
      <c r="E389" t="s">
        <v>17</v>
      </c>
      <c r="F389">
        <v>5286.77</v>
      </c>
      <c r="G389">
        <v>5615.33</v>
      </c>
      <c r="H389">
        <v>-328.56</v>
      </c>
      <c r="J389" t="s">
        <v>42</v>
      </c>
    </row>
    <row r="390" spans="1:10" hidden="1" x14ac:dyDescent="0.35">
      <c r="A390" t="s">
        <v>94</v>
      </c>
      <c r="B390" t="s">
        <v>95</v>
      </c>
      <c r="C390">
        <v>2023</v>
      </c>
      <c r="D390" t="s">
        <v>19</v>
      </c>
      <c r="E390" t="s">
        <v>20</v>
      </c>
      <c r="F390">
        <v>13040.07</v>
      </c>
      <c r="G390">
        <v>12941.4</v>
      </c>
      <c r="H390">
        <v>98.67</v>
      </c>
      <c r="J390" t="s">
        <v>42</v>
      </c>
    </row>
    <row r="391" spans="1:10" hidden="1" x14ac:dyDescent="0.35">
      <c r="A391" t="s">
        <v>94</v>
      </c>
      <c r="B391" t="s">
        <v>95</v>
      </c>
      <c r="C391">
        <v>2023</v>
      </c>
      <c r="D391" t="s">
        <v>21</v>
      </c>
      <c r="E391" t="s">
        <v>13</v>
      </c>
      <c r="F391">
        <v>3468.53</v>
      </c>
      <c r="G391">
        <v>3300.11</v>
      </c>
      <c r="H391">
        <v>168.42</v>
      </c>
      <c r="J391" t="s">
        <v>42</v>
      </c>
    </row>
    <row r="392" spans="1:10" hidden="1" x14ac:dyDescent="0.35">
      <c r="A392" t="s">
        <v>94</v>
      </c>
      <c r="B392" t="s">
        <v>95</v>
      </c>
      <c r="C392">
        <v>2023</v>
      </c>
      <c r="D392" t="s">
        <v>22</v>
      </c>
      <c r="E392" t="s">
        <v>23</v>
      </c>
      <c r="F392">
        <v>8452.33</v>
      </c>
      <c r="G392">
        <v>8867.02</v>
      </c>
      <c r="H392">
        <v>-414.69</v>
      </c>
      <c r="J392" t="s">
        <v>42</v>
      </c>
    </row>
    <row r="393" spans="1:10" hidden="1" x14ac:dyDescent="0.35">
      <c r="A393" t="s">
        <v>94</v>
      </c>
      <c r="B393" t="s">
        <v>95</v>
      </c>
      <c r="C393">
        <v>2023</v>
      </c>
      <c r="D393" t="s">
        <v>24</v>
      </c>
      <c r="E393" t="s">
        <v>13</v>
      </c>
      <c r="F393">
        <v>4685.68</v>
      </c>
      <c r="G393">
        <v>4460.3</v>
      </c>
      <c r="H393">
        <v>225.38</v>
      </c>
      <c r="J393" t="s">
        <v>42</v>
      </c>
    </row>
    <row r="394" spans="1:10" hidden="1" x14ac:dyDescent="0.35">
      <c r="A394" t="s">
        <v>94</v>
      </c>
      <c r="B394" t="s">
        <v>95</v>
      </c>
      <c r="C394">
        <v>2023</v>
      </c>
      <c r="D394" t="s">
        <v>25</v>
      </c>
      <c r="E394" t="s">
        <v>13</v>
      </c>
      <c r="F394">
        <v>7224.08</v>
      </c>
      <c r="G394">
        <v>6726.09</v>
      </c>
      <c r="H394">
        <v>497.99</v>
      </c>
      <c r="J394" t="s">
        <v>42</v>
      </c>
    </row>
    <row r="395" spans="1:10" hidden="1" x14ac:dyDescent="0.35">
      <c r="A395" t="s">
        <v>94</v>
      </c>
      <c r="B395" t="s">
        <v>95</v>
      </c>
      <c r="C395">
        <v>2023</v>
      </c>
      <c r="D395" t="s">
        <v>26</v>
      </c>
      <c r="E395" t="s">
        <v>17</v>
      </c>
      <c r="F395">
        <v>5893.15</v>
      </c>
      <c r="G395">
        <v>5650.41</v>
      </c>
      <c r="H395">
        <v>242.74</v>
      </c>
      <c r="J395" t="s">
        <v>42</v>
      </c>
    </row>
    <row r="396" spans="1:10" hidden="1" x14ac:dyDescent="0.35">
      <c r="A396" t="s">
        <v>94</v>
      </c>
      <c r="B396" t="s">
        <v>95</v>
      </c>
      <c r="C396">
        <v>2023</v>
      </c>
      <c r="D396" t="s">
        <v>27</v>
      </c>
      <c r="E396" t="s">
        <v>13</v>
      </c>
      <c r="F396">
        <v>7215.71</v>
      </c>
      <c r="G396">
        <v>7701.25</v>
      </c>
      <c r="H396">
        <v>-485.55</v>
      </c>
      <c r="J396" t="s">
        <v>42</v>
      </c>
    </row>
    <row r="397" spans="1:10" hidden="1" x14ac:dyDescent="0.35">
      <c r="A397" t="s">
        <v>94</v>
      </c>
      <c r="B397" t="s">
        <v>95</v>
      </c>
      <c r="C397">
        <v>2023</v>
      </c>
      <c r="D397" t="s">
        <v>28</v>
      </c>
      <c r="E397" t="s">
        <v>20</v>
      </c>
      <c r="F397">
        <v>10355.76</v>
      </c>
      <c r="G397">
        <v>10050.39</v>
      </c>
      <c r="H397">
        <v>305.37</v>
      </c>
      <c r="J397" t="s">
        <v>42</v>
      </c>
    </row>
    <row r="398" spans="1:10" x14ac:dyDescent="0.35">
      <c r="A398" t="s">
        <v>96</v>
      </c>
      <c r="B398" t="s">
        <v>97</v>
      </c>
      <c r="C398">
        <v>2023</v>
      </c>
      <c r="D398" t="s">
        <v>12</v>
      </c>
      <c r="E398" t="s">
        <v>13</v>
      </c>
      <c r="F398">
        <v>85020.63</v>
      </c>
      <c r="G398">
        <v>88918.6</v>
      </c>
      <c r="H398">
        <v>-3897.96</v>
      </c>
      <c r="J398" t="s">
        <v>49</v>
      </c>
    </row>
    <row r="399" spans="1:10" hidden="1" x14ac:dyDescent="0.35">
      <c r="A399" t="s">
        <v>96</v>
      </c>
      <c r="B399" t="s">
        <v>97</v>
      </c>
      <c r="C399">
        <v>2023</v>
      </c>
      <c r="D399" t="s">
        <v>15</v>
      </c>
      <c r="E399" t="s">
        <v>15</v>
      </c>
      <c r="F399">
        <v>22312.9</v>
      </c>
      <c r="G399">
        <v>20801.509999999998</v>
      </c>
      <c r="H399">
        <v>1511.39</v>
      </c>
      <c r="J399" t="s">
        <v>49</v>
      </c>
    </row>
    <row r="400" spans="1:10" hidden="1" x14ac:dyDescent="0.35">
      <c r="A400" t="s">
        <v>96</v>
      </c>
      <c r="B400" t="s">
        <v>97</v>
      </c>
      <c r="C400">
        <v>2023</v>
      </c>
      <c r="D400" t="s">
        <v>16</v>
      </c>
      <c r="E400" t="s">
        <v>17</v>
      </c>
      <c r="F400">
        <v>23214.77</v>
      </c>
      <c r="G400">
        <v>22023.83</v>
      </c>
      <c r="H400">
        <v>1190.94</v>
      </c>
      <c r="J400" t="s">
        <v>49</v>
      </c>
    </row>
    <row r="401" spans="1:10" hidden="1" x14ac:dyDescent="0.35">
      <c r="A401" t="s">
        <v>96</v>
      </c>
      <c r="B401" t="s">
        <v>97</v>
      </c>
      <c r="C401">
        <v>2023</v>
      </c>
      <c r="D401" t="s">
        <v>18</v>
      </c>
      <c r="E401" t="s">
        <v>17</v>
      </c>
      <c r="F401">
        <v>5635.74</v>
      </c>
      <c r="G401">
        <v>5517.18</v>
      </c>
      <c r="H401">
        <v>118.55</v>
      </c>
      <c r="J401" t="s">
        <v>49</v>
      </c>
    </row>
    <row r="402" spans="1:10" hidden="1" x14ac:dyDescent="0.35">
      <c r="A402" t="s">
        <v>96</v>
      </c>
      <c r="B402" t="s">
        <v>97</v>
      </c>
      <c r="C402">
        <v>2023</v>
      </c>
      <c r="D402" t="s">
        <v>19</v>
      </c>
      <c r="E402" t="s">
        <v>20</v>
      </c>
      <c r="F402">
        <v>13523.48</v>
      </c>
      <c r="G402">
        <v>13602.4</v>
      </c>
      <c r="H402">
        <v>-78.92</v>
      </c>
      <c r="J402" t="s">
        <v>49</v>
      </c>
    </row>
    <row r="403" spans="1:10" hidden="1" x14ac:dyDescent="0.35">
      <c r="A403" t="s">
        <v>96</v>
      </c>
      <c r="B403" t="s">
        <v>97</v>
      </c>
      <c r="C403">
        <v>2023</v>
      </c>
      <c r="D403" t="s">
        <v>21</v>
      </c>
      <c r="E403" t="s">
        <v>13</v>
      </c>
      <c r="F403">
        <v>3306.71</v>
      </c>
      <c r="G403">
        <v>3317.04</v>
      </c>
      <c r="H403">
        <v>-10.33</v>
      </c>
      <c r="J403" t="s">
        <v>49</v>
      </c>
    </row>
    <row r="404" spans="1:10" hidden="1" x14ac:dyDescent="0.35">
      <c r="A404" t="s">
        <v>96</v>
      </c>
      <c r="B404" t="s">
        <v>97</v>
      </c>
      <c r="C404">
        <v>2023</v>
      </c>
      <c r="D404" t="s">
        <v>22</v>
      </c>
      <c r="E404" t="s">
        <v>23</v>
      </c>
      <c r="F404">
        <v>8744.57</v>
      </c>
      <c r="G404">
        <v>8705.0300000000007</v>
      </c>
      <c r="H404">
        <v>39.53</v>
      </c>
      <c r="J404" t="s">
        <v>49</v>
      </c>
    </row>
    <row r="405" spans="1:10" hidden="1" x14ac:dyDescent="0.35">
      <c r="A405" t="s">
        <v>96</v>
      </c>
      <c r="B405" t="s">
        <v>97</v>
      </c>
      <c r="C405">
        <v>2023</v>
      </c>
      <c r="D405" t="s">
        <v>24</v>
      </c>
      <c r="E405" t="s">
        <v>13</v>
      </c>
      <c r="F405">
        <v>4421.91</v>
      </c>
      <c r="G405">
        <v>4439.3900000000003</v>
      </c>
      <c r="H405">
        <v>-17.48</v>
      </c>
      <c r="J405" t="s">
        <v>49</v>
      </c>
    </row>
    <row r="406" spans="1:10" hidden="1" x14ac:dyDescent="0.35">
      <c r="A406" t="s">
        <v>96</v>
      </c>
      <c r="B406" t="s">
        <v>97</v>
      </c>
      <c r="C406">
        <v>2023</v>
      </c>
      <c r="D406" t="s">
        <v>25</v>
      </c>
      <c r="E406" t="s">
        <v>13</v>
      </c>
      <c r="F406">
        <v>6694.45</v>
      </c>
      <c r="G406">
        <v>6864.2</v>
      </c>
      <c r="H406">
        <v>-169.75</v>
      </c>
      <c r="J406" t="s">
        <v>49</v>
      </c>
    </row>
    <row r="407" spans="1:10" hidden="1" x14ac:dyDescent="0.35">
      <c r="A407" t="s">
        <v>96</v>
      </c>
      <c r="B407" t="s">
        <v>97</v>
      </c>
      <c r="C407">
        <v>2023</v>
      </c>
      <c r="D407" t="s">
        <v>26</v>
      </c>
      <c r="E407" t="s">
        <v>17</v>
      </c>
      <c r="F407">
        <v>5470.71</v>
      </c>
      <c r="G407">
        <v>5481.6</v>
      </c>
      <c r="H407">
        <v>-10.89</v>
      </c>
      <c r="J407" t="s">
        <v>49</v>
      </c>
    </row>
    <row r="408" spans="1:10" hidden="1" x14ac:dyDescent="0.35">
      <c r="A408" t="s">
        <v>96</v>
      </c>
      <c r="B408" t="s">
        <v>97</v>
      </c>
      <c r="C408">
        <v>2023</v>
      </c>
      <c r="D408" t="s">
        <v>27</v>
      </c>
      <c r="E408" t="s">
        <v>13</v>
      </c>
      <c r="F408">
        <v>8292.7000000000007</v>
      </c>
      <c r="G408">
        <v>8052.51</v>
      </c>
      <c r="H408">
        <v>240.19</v>
      </c>
      <c r="J408" t="s">
        <v>49</v>
      </c>
    </row>
    <row r="409" spans="1:10" hidden="1" x14ac:dyDescent="0.35">
      <c r="A409" t="s">
        <v>96</v>
      </c>
      <c r="B409" t="s">
        <v>97</v>
      </c>
      <c r="C409">
        <v>2023</v>
      </c>
      <c r="D409" t="s">
        <v>28</v>
      </c>
      <c r="E409" t="s">
        <v>20</v>
      </c>
      <c r="F409">
        <v>9674.41</v>
      </c>
      <c r="G409">
        <v>10229.65</v>
      </c>
      <c r="H409">
        <v>-555.25</v>
      </c>
      <c r="J409" t="s">
        <v>49</v>
      </c>
    </row>
    <row r="410" spans="1:10" x14ac:dyDescent="0.35">
      <c r="A410" t="s">
        <v>98</v>
      </c>
      <c r="B410" t="s">
        <v>99</v>
      </c>
      <c r="C410">
        <v>2023</v>
      </c>
      <c r="D410" t="s">
        <v>12</v>
      </c>
      <c r="E410" t="s">
        <v>13</v>
      </c>
      <c r="F410">
        <v>94639.45</v>
      </c>
      <c r="G410">
        <v>88906.62</v>
      </c>
      <c r="H410">
        <v>5732.84</v>
      </c>
      <c r="J410" t="s">
        <v>49</v>
      </c>
    </row>
    <row r="411" spans="1:10" hidden="1" x14ac:dyDescent="0.35">
      <c r="A411" t="s">
        <v>98</v>
      </c>
      <c r="B411" t="s">
        <v>99</v>
      </c>
      <c r="C411">
        <v>2023</v>
      </c>
      <c r="D411" t="s">
        <v>15</v>
      </c>
      <c r="E411" t="s">
        <v>15</v>
      </c>
      <c r="F411">
        <v>23131.01</v>
      </c>
      <c r="G411">
        <v>21551.82</v>
      </c>
      <c r="H411">
        <v>1579.19</v>
      </c>
      <c r="J411" t="s">
        <v>49</v>
      </c>
    </row>
    <row r="412" spans="1:10" hidden="1" x14ac:dyDescent="0.35">
      <c r="A412" t="s">
        <v>98</v>
      </c>
      <c r="B412" t="s">
        <v>99</v>
      </c>
      <c r="C412">
        <v>2023</v>
      </c>
      <c r="D412" t="s">
        <v>16</v>
      </c>
      <c r="E412" t="s">
        <v>17</v>
      </c>
      <c r="F412">
        <v>23671.66</v>
      </c>
      <c r="G412">
        <v>21707.81</v>
      </c>
      <c r="H412">
        <v>1963.85</v>
      </c>
      <c r="J412" t="s">
        <v>49</v>
      </c>
    </row>
    <row r="413" spans="1:10" hidden="1" x14ac:dyDescent="0.35">
      <c r="A413" t="s">
        <v>98</v>
      </c>
      <c r="B413" t="s">
        <v>99</v>
      </c>
      <c r="C413">
        <v>2023</v>
      </c>
      <c r="D413" t="s">
        <v>18</v>
      </c>
      <c r="E413" t="s">
        <v>17</v>
      </c>
      <c r="F413">
        <v>5903.63</v>
      </c>
      <c r="G413">
        <v>5892.68</v>
      </c>
      <c r="H413">
        <v>10.95</v>
      </c>
      <c r="J413" t="s">
        <v>49</v>
      </c>
    </row>
    <row r="414" spans="1:10" hidden="1" x14ac:dyDescent="0.35">
      <c r="A414" t="s">
        <v>98</v>
      </c>
      <c r="B414" t="s">
        <v>99</v>
      </c>
      <c r="C414">
        <v>2023</v>
      </c>
      <c r="D414" t="s">
        <v>19</v>
      </c>
      <c r="E414" t="s">
        <v>20</v>
      </c>
      <c r="F414">
        <v>14262.81</v>
      </c>
      <c r="G414">
        <v>13053.18</v>
      </c>
      <c r="H414">
        <v>1209.6300000000001</v>
      </c>
      <c r="J414" t="s">
        <v>49</v>
      </c>
    </row>
    <row r="415" spans="1:10" hidden="1" x14ac:dyDescent="0.35">
      <c r="A415" t="s">
        <v>98</v>
      </c>
      <c r="B415" t="s">
        <v>99</v>
      </c>
      <c r="C415">
        <v>2023</v>
      </c>
      <c r="D415" t="s">
        <v>21</v>
      </c>
      <c r="E415" t="s">
        <v>13</v>
      </c>
      <c r="F415">
        <v>3442.95</v>
      </c>
      <c r="G415">
        <v>3464.23</v>
      </c>
      <c r="H415">
        <v>-21.28</v>
      </c>
      <c r="J415" t="s">
        <v>49</v>
      </c>
    </row>
    <row r="416" spans="1:10" hidden="1" x14ac:dyDescent="0.35">
      <c r="A416" t="s">
        <v>98</v>
      </c>
      <c r="B416" t="s">
        <v>99</v>
      </c>
      <c r="C416">
        <v>2023</v>
      </c>
      <c r="D416" t="s">
        <v>22</v>
      </c>
      <c r="E416" t="s">
        <v>23</v>
      </c>
      <c r="F416">
        <v>8760.2900000000009</v>
      </c>
      <c r="G416">
        <v>8708.82</v>
      </c>
      <c r="H416">
        <v>51.48</v>
      </c>
      <c r="J416" t="s">
        <v>49</v>
      </c>
    </row>
    <row r="417" spans="1:10" hidden="1" x14ac:dyDescent="0.35">
      <c r="A417" t="s">
        <v>98</v>
      </c>
      <c r="B417" t="s">
        <v>99</v>
      </c>
      <c r="C417">
        <v>2023</v>
      </c>
      <c r="D417" t="s">
        <v>24</v>
      </c>
      <c r="E417" t="s">
        <v>13</v>
      </c>
      <c r="F417">
        <v>4122.38</v>
      </c>
      <c r="G417">
        <v>4232.13</v>
      </c>
      <c r="H417">
        <v>-109.75</v>
      </c>
      <c r="J417" t="s">
        <v>49</v>
      </c>
    </row>
    <row r="418" spans="1:10" hidden="1" x14ac:dyDescent="0.35">
      <c r="A418" t="s">
        <v>98</v>
      </c>
      <c r="B418" t="s">
        <v>99</v>
      </c>
      <c r="C418">
        <v>2023</v>
      </c>
      <c r="D418" t="s">
        <v>25</v>
      </c>
      <c r="E418" t="s">
        <v>13</v>
      </c>
      <c r="F418">
        <v>6297.74</v>
      </c>
      <c r="G418">
        <v>6415.73</v>
      </c>
      <c r="H418">
        <v>-117.98</v>
      </c>
      <c r="J418" t="s">
        <v>49</v>
      </c>
    </row>
    <row r="419" spans="1:10" hidden="1" x14ac:dyDescent="0.35">
      <c r="A419" t="s">
        <v>98</v>
      </c>
      <c r="B419" t="s">
        <v>99</v>
      </c>
      <c r="C419">
        <v>2023</v>
      </c>
      <c r="D419" t="s">
        <v>26</v>
      </c>
      <c r="E419" t="s">
        <v>17</v>
      </c>
      <c r="F419">
        <v>5681.39</v>
      </c>
      <c r="G419">
        <v>5506.76</v>
      </c>
      <c r="H419">
        <v>174.62</v>
      </c>
      <c r="J419" t="s">
        <v>49</v>
      </c>
    </row>
    <row r="420" spans="1:10" hidden="1" x14ac:dyDescent="0.35">
      <c r="A420" t="s">
        <v>98</v>
      </c>
      <c r="B420" t="s">
        <v>99</v>
      </c>
      <c r="C420">
        <v>2023</v>
      </c>
      <c r="D420" t="s">
        <v>27</v>
      </c>
      <c r="E420" t="s">
        <v>13</v>
      </c>
      <c r="F420">
        <v>7834.85</v>
      </c>
      <c r="G420">
        <v>8076.48</v>
      </c>
      <c r="H420">
        <v>-241.63</v>
      </c>
      <c r="J420" t="s">
        <v>49</v>
      </c>
    </row>
    <row r="421" spans="1:10" hidden="1" x14ac:dyDescent="0.35">
      <c r="A421" t="s">
        <v>98</v>
      </c>
      <c r="B421" t="s">
        <v>99</v>
      </c>
      <c r="C421">
        <v>2023</v>
      </c>
      <c r="D421" t="s">
        <v>28</v>
      </c>
      <c r="E421" t="s">
        <v>20</v>
      </c>
      <c r="F421">
        <v>10310.52</v>
      </c>
      <c r="G421">
        <v>10215.51</v>
      </c>
      <c r="H421">
        <v>95.01</v>
      </c>
      <c r="J421" t="s">
        <v>49</v>
      </c>
    </row>
    <row r="422" spans="1:10" x14ac:dyDescent="0.35">
      <c r="A422" t="s">
        <v>100</v>
      </c>
      <c r="B422" t="s">
        <v>101</v>
      </c>
      <c r="C422">
        <v>2023</v>
      </c>
      <c r="D422" t="s">
        <v>12</v>
      </c>
      <c r="E422" t="s">
        <v>13</v>
      </c>
      <c r="F422">
        <v>92802.04</v>
      </c>
      <c r="G422">
        <v>88069.119999999995</v>
      </c>
      <c r="H422">
        <v>4732.92</v>
      </c>
      <c r="J422" t="s">
        <v>49</v>
      </c>
    </row>
    <row r="423" spans="1:10" hidden="1" x14ac:dyDescent="0.35">
      <c r="A423" t="s">
        <v>100</v>
      </c>
      <c r="B423" t="s">
        <v>101</v>
      </c>
      <c r="C423">
        <v>2023</v>
      </c>
      <c r="D423" t="s">
        <v>15</v>
      </c>
      <c r="E423" t="s">
        <v>15</v>
      </c>
      <c r="F423">
        <v>21587.35</v>
      </c>
      <c r="G423">
        <v>20774.64</v>
      </c>
      <c r="H423">
        <v>812.71</v>
      </c>
      <c r="J423" t="s">
        <v>49</v>
      </c>
    </row>
    <row r="424" spans="1:10" hidden="1" x14ac:dyDescent="0.35">
      <c r="A424" t="s">
        <v>100</v>
      </c>
      <c r="B424" t="s">
        <v>101</v>
      </c>
      <c r="C424">
        <v>2023</v>
      </c>
      <c r="D424" t="s">
        <v>16</v>
      </c>
      <c r="E424" t="s">
        <v>17</v>
      </c>
      <c r="F424">
        <v>23148.95</v>
      </c>
      <c r="G424">
        <v>22160.11</v>
      </c>
      <c r="H424">
        <v>988.84</v>
      </c>
      <c r="J424" t="s">
        <v>49</v>
      </c>
    </row>
    <row r="425" spans="1:10" hidden="1" x14ac:dyDescent="0.35">
      <c r="A425" t="s">
        <v>100</v>
      </c>
      <c r="B425" t="s">
        <v>101</v>
      </c>
      <c r="C425">
        <v>2023</v>
      </c>
      <c r="D425" t="s">
        <v>18</v>
      </c>
      <c r="E425" t="s">
        <v>17</v>
      </c>
      <c r="F425">
        <v>7942.68</v>
      </c>
      <c r="G425">
        <v>6950.4</v>
      </c>
      <c r="H425">
        <v>992.27</v>
      </c>
      <c r="J425" t="s">
        <v>49</v>
      </c>
    </row>
    <row r="426" spans="1:10" hidden="1" x14ac:dyDescent="0.35">
      <c r="A426" t="s">
        <v>100</v>
      </c>
      <c r="B426" t="s">
        <v>101</v>
      </c>
      <c r="C426">
        <v>2023</v>
      </c>
      <c r="D426" t="s">
        <v>19</v>
      </c>
      <c r="E426" t="s">
        <v>20</v>
      </c>
      <c r="F426">
        <v>12891.88</v>
      </c>
      <c r="G426">
        <v>12976.88</v>
      </c>
      <c r="H426">
        <v>-85</v>
      </c>
      <c r="J426" t="s">
        <v>49</v>
      </c>
    </row>
    <row r="427" spans="1:10" hidden="1" x14ac:dyDescent="0.35">
      <c r="A427" t="s">
        <v>100</v>
      </c>
      <c r="B427" t="s">
        <v>101</v>
      </c>
      <c r="C427">
        <v>2023</v>
      </c>
      <c r="D427" t="s">
        <v>21</v>
      </c>
      <c r="E427" t="s">
        <v>13</v>
      </c>
      <c r="F427">
        <v>3220.44</v>
      </c>
      <c r="G427">
        <v>3245.67</v>
      </c>
      <c r="H427">
        <v>-25.23</v>
      </c>
      <c r="J427" t="s">
        <v>49</v>
      </c>
    </row>
    <row r="428" spans="1:10" hidden="1" x14ac:dyDescent="0.35">
      <c r="A428" t="s">
        <v>100</v>
      </c>
      <c r="B428" t="s">
        <v>101</v>
      </c>
      <c r="C428">
        <v>2023</v>
      </c>
      <c r="D428" t="s">
        <v>22</v>
      </c>
      <c r="E428" t="s">
        <v>23</v>
      </c>
      <c r="F428">
        <v>9338.7000000000007</v>
      </c>
      <c r="G428">
        <v>8651.35</v>
      </c>
      <c r="H428">
        <v>687.36</v>
      </c>
      <c r="J428" t="s">
        <v>49</v>
      </c>
    </row>
    <row r="429" spans="1:10" hidden="1" x14ac:dyDescent="0.35">
      <c r="A429" t="s">
        <v>100</v>
      </c>
      <c r="B429" t="s">
        <v>101</v>
      </c>
      <c r="C429">
        <v>2023</v>
      </c>
      <c r="D429" t="s">
        <v>24</v>
      </c>
      <c r="E429" t="s">
        <v>13</v>
      </c>
      <c r="F429">
        <v>4558.68</v>
      </c>
      <c r="G429">
        <v>4597.93</v>
      </c>
      <c r="H429">
        <v>-39.25</v>
      </c>
      <c r="J429" t="s">
        <v>49</v>
      </c>
    </row>
    <row r="430" spans="1:10" hidden="1" x14ac:dyDescent="0.35">
      <c r="A430" t="s">
        <v>100</v>
      </c>
      <c r="B430" t="s">
        <v>101</v>
      </c>
      <c r="C430">
        <v>2023</v>
      </c>
      <c r="D430" t="s">
        <v>25</v>
      </c>
      <c r="E430" t="s">
        <v>13</v>
      </c>
      <c r="F430">
        <v>6730.84</v>
      </c>
      <c r="G430">
        <v>6449.82</v>
      </c>
      <c r="H430">
        <v>281.02</v>
      </c>
      <c r="J430" t="s">
        <v>49</v>
      </c>
    </row>
    <row r="431" spans="1:10" hidden="1" x14ac:dyDescent="0.35">
      <c r="A431" t="s">
        <v>100</v>
      </c>
      <c r="B431" t="s">
        <v>101</v>
      </c>
      <c r="C431">
        <v>2023</v>
      </c>
      <c r="D431" t="s">
        <v>26</v>
      </c>
      <c r="E431" t="s">
        <v>17</v>
      </c>
      <c r="F431">
        <v>5701.16</v>
      </c>
      <c r="G431">
        <v>5421.18</v>
      </c>
      <c r="H431">
        <v>279.99</v>
      </c>
      <c r="J431" t="s">
        <v>49</v>
      </c>
    </row>
    <row r="432" spans="1:10" hidden="1" x14ac:dyDescent="0.35">
      <c r="A432" t="s">
        <v>100</v>
      </c>
      <c r="B432" t="s">
        <v>101</v>
      </c>
      <c r="C432">
        <v>2023</v>
      </c>
      <c r="D432" t="s">
        <v>27</v>
      </c>
      <c r="E432" t="s">
        <v>13</v>
      </c>
      <c r="F432">
        <v>7331.32</v>
      </c>
      <c r="G432">
        <v>7764.48</v>
      </c>
      <c r="H432">
        <v>-433.16</v>
      </c>
      <c r="J432" t="s">
        <v>49</v>
      </c>
    </row>
    <row r="433" spans="1:10" hidden="1" x14ac:dyDescent="0.35">
      <c r="A433" t="s">
        <v>100</v>
      </c>
      <c r="B433" t="s">
        <v>101</v>
      </c>
      <c r="C433">
        <v>2023</v>
      </c>
      <c r="D433" t="s">
        <v>28</v>
      </c>
      <c r="E433" t="s">
        <v>20</v>
      </c>
      <c r="F433">
        <v>11523.16</v>
      </c>
      <c r="G433">
        <v>10383.15</v>
      </c>
      <c r="H433">
        <v>1140.01</v>
      </c>
      <c r="J433" t="s">
        <v>49</v>
      </c>
    </row>
  </sheetData>
  <autoFilter ref="A1:J433" xr:uid="{00000000-0001-0000-0000-000000000000}">
    <filterColumn colId="3">
      <filters>
        <filter val="Salari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/>
  </sheetViews>
  <sheetFormatPr defaultRowHeight="14.5" x14ac:dyDescent="0.35"/>
  <cols>
    <col min="1" max="1" width="1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</row>
    <row r="2" spans="1:6" x14ac:dyDescent="0.35">
      <c r="A2" t="s">
        <v>10</v>
      </c>
      <c r="B2" t="s">
        <v>11</v>
      </c>
      <c r="C2">
        <v>2021</v>
      </c>
      <c r="D2">
        <v>174968.16</v>
      </c>
      <c r="E2">
        <v>176537.05</v>
      </c>
      <c r="F2">
        <v>-1568.89</v>
      </c>
    </row>
    <row r="3" spans="1:6" x14ac:dyDescent="0.35">
      <c r="A3" t="s">
        <v>54</v>
      </c>
      <c r="B3" t="s">
        <v>55</v>
      </c>
      <c r="C3">
        <v>2022</v>
      </c>
      <c r="D3">
        <v>181905.65</v>
      </c>
      <c r="E3">
        <v>184879.57</v>
      </c>
      <c r="F3">
        <v>-2973.91</v>
      </c>
    </row>
    <row r="4" spans="1:6" x14ac:dyDescent="0.35">
      <c r="A4" t="s">
        <v>78</v>
      </c>
      <c r="B4" t="s">
        <v>79</v>
      </c>
      <c r="C4">
        <v>2023</v>
      </c>
      <c r="D4">
        <v>200142.31</v>
      </c>
      <c r="E4">
        <v>193785.41</v>
      </c>
      <c r="F4">
        <v>6356.91</v>
      </c>
    </row>
    <row r="5" spans="1:6" x14ac:dyDescent="0.35">
      <c r="A5" t="s">
        <v>29</v>
      </c>
      <c r="B5" t="s">
        <v>30</v>
      </c>
      <c r="C5">
        <v>2021</v>
      </c>
      <c r="D5">
        <v>171990.31</v>
      </c>
      <c r="E5">
        <v>172592.96</v>
      </c>
      <c r="F5">
        <v>-602.6400000000001</v>
      </c>
    </row>
    <row r="6" spans="1:6" x14ac:dyDescent="0.35">
      <c r="A6" t="s">
        <v>56</v>
      </c>
      <c r="B6" t="s">
        <v>57</v>
      </c>
      <c r="C6">
        <v>2022</v>
      </c>
      <c r="D6">
        <v>192524.87</v>
      </c>
      <c r="E6">
        <v>187463.77</v>
      </c>
      <c r="F6">
        <v>5061.09</v>
      </c>
    </row>
    <row r="7" spans="1:6" x14ac:dyDescent="0.35">
      <c r="A7" t="s">
        <v>80</v>
      </c>
      <c r="B7" t="s">
        <v>81</v>
      </c>
      <c r="C7">
        <v>2023</v>
      </c>
      <c r="D7">
        <v>196493.46</v>
      </c>
      <c r="E7">
        <v>195996.17</v>
      </c>
      <c r="F7">
        <v>497.27</v>
      </c>
    </row>
    <row r="8" spans="1:6" x14ac:dyDescent="0.35">
      <c r="A8" t="s">
        <v>31</v>
      </c>
      <c r="B8" t="s">
        <v>32</v>
      </c>
      <c r="C8">
        <v>2021</v>
      </c>
      <c r="D8">
        <v>165265.9</v>
      </c>
      <c r="E8">
        <v>174507.92</v>
      </c>
      <c r="F8">
        <v>-9242.01</v>
      </c>
    </row>
    <row r="9" spans="1:6" x14ac:dyDescent="0.35">
      <c r="A9" t="s">
        <v>58</v>
      </c>
      <c r="B9" t="s">
        <v>59</v>
      </c>
      <c r="C9">
        <v>2022</v>
      </c>
      <c r="D9">
        <v>176431.42</v>
      </c>
      <c r="E9">
        <v>180125.18</v>
      </c>
      <c r="F9">
        <v>-3693.75</v>
      </c>
    </row>
    <row r="10" spans="1:6" x14ac:dyDescent="0.35">
      <c r="A10" t="s">
        <v>82</v>
      </c>
      <c r="B10" t="s">
        <v>83</v>
      </c>
      <c r="C10">
        <v>2023</v>
      </c>
      <c r="D10">
        <v>191613.39</v>
      </c>
      <c r="E10">
        <v>194231.31</v>
      </c>
      <c r="F10">
        <v>-2617.94</v>
      </c>
    </row>
    <row r="11" spans="1:6" x14ac:dyDescent="0.35">
      <c r="A11" t="s">
        <v>33</v>
      </c>
      <c r="B11" t="s">
        <v>34</v>
      </c>
      <c r="C11">
        <v>2021</v>
      </c>
      <c r="D11">
        <v>181487.13</v>
      </c>
      <c r="E11">
        <v>172436.76</v>
      </c>
      <c r="F11">
        <v>9050.34</v>
      </c>
    </row>
    <row r="12" spans="1:6" x14ac:dyDescent="0.35">
      <c r="A12" t="s">
        <v>60</v>
      </c>
      <c r="B12" t="s">
        <v>61</v>
      </c>
      <c r="C12">
        <v>2022</v>
      </c>
      <c r="D12">
        <v>193868.11</v>
      </c>
      <c r="E12">
        <v>184826.15</v>
      </c>
      <c r="F12">
        <v>9041.94</v>
      </c>
    </row>
    <row r="13" spans="1:6" x14ac:dyDescent="0.35">
      <c r="A13" t="s">
        <v>84</v>
      </c>
      <c r="B13" t="s">
        <v>85</v>
      </c>
      <c r="C13">
        <v>2023</v>
      </c>
      <c r="D13">
        <v>195366.52</v>
      </c>
      <c r="E13">
        <v>191831.55</v>
      </c>
      <c r="F13">
        <v>3534.9999999999991</v>
      </c>
    </row>
    <row r="14" spans="1:6" x14ac:dyDescent="0.35">
      <c r="A14" t="s">
        <v>36</v>
      </c>
      <c r="B14" t="s">
        <v>37</v>
      </c>
      <c r="C14">
        <v>2021</v>
      </c>
      <c r="D14">
        <v>176065.71</v>
      </c>
      <c r="E14">
        <v>174038.88</v>
      </c>
      <c r="F14">
        <v>2026.84</v>
      </c>
    </row>
    <row r="15" spans="1:6" x14ac:dyDescent="0.35">
      <c r="A15" t="s">
        <v>62</v>
      </c>
      <c r="B15" t="s">
        <v>63</v>
      </c>
      <c r="C15">
        <v>2022</v>
      </c>
      <c r="D15">
        <v>185366.91</v>
      </c>
      <c r="E15">
        <v>179869.58</v>
      </c>
      <c r="F15">
        <v>5497.33</v>
      </c>
    </row>
    <row r="16" spans="1:6" x14ac:dyDescent="0.35">
      <c r="A16" t="s">
        <v>86</v>
      </c>
      <c r="B16" t="s">
        <v>87</v>
      </c>
      <c r="C16">
        <v>2023</v>
      </c>
      <c r="D16">
        <v>189645.54</v>
      </c>
      <c r="E16">
        <v>189536.9</v>
      </c>
      <c r="F16">
        <v>108.65000000000011</v>
      </c>
    </row>
    <row r="17" spans="1:6" x14ac:dyDescent="0.35">
      <c r="A17" t="s">
        <v>38</v>
      </c>
      <c r="B17" t="s">
        <v>39</v>
      </c>
      <c r="C17">
        <v>2021</v>
      </c>
      <c r="D17">
        <v>175224.77</v>
      </c>
      <c r="E17">
        <v>178957.11</v>
      </c>
      <c r="F17">
        <v>-3732.35</v>
      </c>
    </row>
    <row r="18" spans="1:6" x14ac:dyDescent="0.35">
      <c r="A18" t="s">
        <v>64</v>
      </c>
      <c r="B18" t="s">
        <v>65</v>
      </c>
      <c r="C18">
        <v>2022</v>
      </c>
      <c r="D18">
        <v>191445.23</v>
      </c>
      <c r="E18">
        <v>187046.6</v>
      </c>
      <c r="F18">
        <v>4398.63</v>
      </c>
    </row>
    <row r="19" spans="1:6" x14ac:dyDescent="0.35">
      <c r="A19" t="s">
        <v>88</v>
      </c>
      <c r="B19" t="s">
        <v>89</v>
      </c>
      <c r="C19">
        <v>2023</v>
      </c>
      <c r="D19">
        <v>189922.49</v>
      </c>
      <c r="E19">
        <v>194537.78</v>
      </c>
      <c r="F19">
        <v>-4615.2899999999991</v>
      </c>
    </row>
    <row r="20" spans="1:6" x14ac:dyDescent="0.35">
      <c r="A20" t="s">
        <v>40</v>
      </c>
      <c r="B20" t="s">
        <v>41</v>
      </c>
      <c r="C20">
        <v>2021</v>
      </c>
      <c r="D20">
        <v>184805.77</v>
      </c>
      <c r="E20">
        <v>178305.95</v>
      </c>
      <c r="F20">
        <v>6499.82</v>
      </c>
    </row>
    <row r="21" spans="1:6" x14ac:dyDescent="0.35">
      <c r="A21" t="s">
        <v>66</v>
      </c>
      <c r="B21" t="s">
        <v>67</v>
      </c>
      <c r="C21">
        <v>2022</v>
      </c>
      <c r="D21">
        <v>188140.54</v>
      </c>
      <c r="E21">
        <v>185909.81</v>
      </c>
      <c r="F21">
        <v>2230.71</v>
      </c>
    </row>
    <row r="22" spans="1:6" x14ac:dyDescent="0.35">
      <c r="A22" t="s">
        <v>90</v>
      </c>
      <c r="B22" t="s">
        <v>91</v>
      </c>
      <c r="C22">
        <v>2023</v>
      </c>
      <c r="D22">
        <v>190751.53</v>
      </c>
      <c r="E22">
        <v>195431.28</v>
      </c>
      <c r="F22">
        <v>-4679.75</v>
      </c>
    </row>
    <row r="23" spans="1:6" x14ac:dyDescent="0.35">
      <c r="A23" t="s">
        <v>43</v>
      </c>
      <c r="B23" t="s">
        <v>44</v>
      </c>
      <c r="C23">
        <v>2021</v>
      </c>
      <c r="D23">
        <v>172641</v>
      </c>
      <c r="E23">
        <v>176000.98</v>
      </c>
      <c r="F23">
        <v>-3359.99</v>
      </c>
    </row>
    <row r="24" spans="1:6" x14ac:dyDescent="0.35">
      <c r="A24" t="s">
        <v>68</v>
      </c>
      <c r="B24" t="s">
        <v>69</v>
      </c>
      <c r="C24">
        <v>2022</v>
      </c>
      <c r="D24">
        <v>179485.53</v>
      </c>
      <c r="E24">
        <v>187422.71</v>
      </c>
      <c r="F24">
        <v>-7937.2</v>
      </c>
    </row>
    <row r="25" spans="1:6" x14ac:dyDescent="0.35">
      <c r="A25" t="s">
        <v>92</v>
      </c>
      <c r="B25" t="s">
        <v>93</v>
      </c>
      <c r="C25">
        <v>2023</v>
      </c>
      <c r="D25">
        <v>196559.93</v>
      </c>
      <c r="E25">
        <v>196420.65</v>
      </c>
      <c r="F25">
        <v>139.28</v>
      </c>
    </row>
    <row r="26" spans="1:6" x14ac:dyDescent="0.35">
      <c r="A26" t="s">
        <v>45</v>
      </c>
      <c r="B26" t="s">
        <v>46</v>
      </c>
      <c r="C26">
        <v>2021</v>
      </c>
      <c r="D26">
        <v>170196.68</v>
      </c>
      <c r="E26">
        <v>174321.16</v>
      </c>
      <c r="F26">
        <v>-4124.49</v>
      </c>
    </row>
    <row r="27" spans="1:6" x14ac:dyDescent="0.35">
      <c r="A27" t="s">
        <v>70</v>
      </c>
      <c r="B27" t="s">
        <v>71</v>
      </c>
      <c r="C27">
        <v>2022</v>
      </c>
      <c r="D27">
        <v>174248.2</v>
      </c>
      <c r="E27">
        <v>181362.44</v>
      </c>
      <c r="F27">
        <v>-7114.23</v>
      </c>
    </row>
    <row r="28" spans="1:6" x14ac:dyDescent="0.35">
      <c r="A28" t="s">
        <v>94</v>
      </c>
      <c r="B28" t="s">
        <v>95</v>
      </c>
      <c r="C28">
        <v>2023</v>
      </c>
      <c r="D28">
        <v>202498.24</v>
      </c>
      <c r="E28">
        <v>191210.32</v>
      </c>
      <c r="F28">
        <v>11287.91</v>
      </c>
    </row>
    <row r="29" spans="1:6" x14ac:dyDescent="0.35">
      <c r="A29" t="s">
        <v>47</v>
      </c>
      <c r="B29" t="s">
        <v>48</v>
      </c>
      <c r="C29">
        <v>2021</v>
      </c>
      <c r="D29">
        <v>173868.46</v>
      </c>
      <c r="E29">
        <v>177155.43</v>
      </c>
      <c r="F29">
        <v>-3286.98</v>
      </c>
    </row>
    <row r="30" spans="1:6" x14ac:dyDescent="0.35">
      <c r="A30" t="s">
        <v>72</v>
      </c>
      <c r="B30" t="s">
        <v>73</v>
      </c>
      <c r="C30">
        <v>2022</v>
      </c>
      <c r="D30">
        <v>176777.9</v>
      </c>
      <c r="E30">
        <v>184439.01</v>
      </c>
      <c r="F30">
        <v>-7661.1</v>
      </c>
    </row>
    <row r="31" spans="1:6" x14ac:dyDescent="0.35">
      <c r="A31" t="s">
        <v>96</v>
      </c>
      <c r="B31" t="s">
        <v>97</v>
      </c>
      <c r="C31">
        <v>2023</v>
      </c>
      <c r="D31">
        <v>196312.98</v>
      </c>
      <c r="E31">
        <v>197952.94</v>
      </c>
      <c r="F31">
        <v>-1639.98</v>
      </c>
    </row>
    <row r="32" spans="1:6" x14ac:dyDescent="0.35">
      <c r="A32" t="s">
        <v>50</v>
      </c>
      <c r="B32" t="s">
        <v>51</v>
      </c>
      <c r="C32">
        <v>2021</v>
      </c>
      <c r="D32">
        <v>176495.91</v>
      </c>
      <c r="E32">
        <v>176175.84</v>
      </c>
      <c r="F32">
        <v>320.07000000000011</v>
      </c>
    </row>
    <row r="33" spans="1:6" x14ac:dyDescent="0.35">
      <c r="A33" t="s">
        <v>74</v>
      </c>
      <c r="B33" t="s">
        <v>75</v>
      </c>
      <c r="C33">
        <v>2022</v>
      </c>
      <c r="D33">
        <v>175446.55</v>
      </c>
      <c r="E33">
        <v>188104.81</v>
      </c>
      <c r="F33">
        <v>-12658.26</v>
      </c>
    </row>
    <row r="34" spans="1:6" x14ac:dyDescent="0.35">
      <c r="A34" t="s">
        <v>98</v>
      </c>
      <c r="B34" t="s">
        <v>99</v>
      </c>
      <c r="C34">
        <v>2023</v>
      </c>
      <c r="D34">
        <v>208058.68</v>
      </c>
      <c r="E34">
        <v>197731.77</v>
      </c>
      <c r="F34">
        <v>10326.93</v>
      </c>
    </row>
    <row r="35" spans="1:6" x14ac:dyDescent="0.35">
      <c r="A35" t="s">
        <v>52</v>
      </c>
      <c r="B35" t="s">
        <v>53</v>
      </c>
      <c r="C35">
        <v>2021</v>
      </c>
      <c r="D35">
        <v>169015.3</v>
      </c>
      <c r="E35">
        <v>181156.85</v>
      </c>
      <c r="F35">
        <v>-12141.54</v>
      </c>
    </row>
    <row r="36" spans="1:6" x14ac:dyDescent="0.35">
      <c r="A36" t="s">
        <v>76</v>
      </c>
      <c r="B36" t="s">
        <v>77</v>
      </c>
      <c r="C36">
        <v>2022</v>
      </c>
      <c r="D36">
        <v>192118.62</v>
      </c>
      <c r="E36">
        <v>191852.46</v>
      </c>
      <c r="F36">
        <v>266.15000000000009</v>
      </c>
    </row>
    <row r="37" spans="1:6" x14ac:dyDescent="0.35">
      <c r="A37" t="s">
        <v>100</v>
      </c>
      <c r="B37" t="s">
        <v>101</v>
      </c>
      <c r="C37">
        <v>2023</v>
      </c>
      <c r="D37">
        <v>206777.2</v>
      </c>
      <c r="E37">
        <v>197444.73</v>
      </c>
      <c r="F37">
        <v>9332.48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G6" sqref="G6"/>
    </sheetView>
  </sheetViews>
  <sheetFormatPr defaultRowHeight="14.5" x14ac:dyDescent="0.35"/>
  <sheetData>
    <row r="1" spans="1:5" x14ac:dyDescent="0.35">
      <c r="A1" t="s">
        <v>2</v>
      </c>
      <c r="B1" t="s">
        <v>9</v>
      </c>
      <c r="C1" t="s">
        <v>5</v>
      </c>
      <c r="D1" t="s">
        <v>6</v>
      </c>
      <c r="E1" t="s">
        <v>7</v>
      </c>
    </row>
    <row r="2" spans="1:5" x14ac:dyDescent="0.35">
      <c r="A2">
        <v>2021</v>
      </c>
      <c r="B2" t="s">
        <v>14</v>
      </c>
      <c r="C2">
        <v>512224.37</v>
      </c>
      <c r="D2">
        <v>523637.93</v>
      </c>
      <c r="E2">
        <v>-11413.54</v>
      </c>
    </row>
    <row r="3" spans="1:5" x14ac:dyDescent="0.35">
      <c r="A3">
        <v>2021</v>
      </c>
      <c r="B3" t="s">
        <v>35</v>
      </c>
      <c r="C3">
        <v>532777.61</v>
      </c>
      <c r="D3">
        <v>525432.75</v>
      </c>
      <c r="E3">
        <v>7344.83</v>
      </c>
    </row>
    <row r="4" spans="1:5" x14ac:dyDescent="0.35">
      <c r="A4">
        <v>2021</v>
      </c>
      <c r="B4" t="s">
        <v>42</v>
      </c>
      <c r="C4">
        <v>527643.44999999995</v>
      </c>
      <c r="D4">
        <v>528628.09</v>
      </c>
      <c r="E4">
        <v>-984.65999999999963</v>
      </c>
    </row>
    <row r="5" spans="1:5" x14ac:dyDescent="0.35">
      <c r="A5">
        <v>2021</v>
      </c>
      <c r="B5" t="s">
        <v>49</v>
      </c>
      <c r="C5">
        <v>519379.67</v>
      </c>
      <c r="D5">
        <v>534488.12</v>
      </c>
      <c r="E5">
        <v>-15108.45</v>
      </c>
    </row>
    <row r="6" spans="1:5" x14ac:dyDescent="0.35">
      <c r="A6">
        <v>2022</v>
      </c>
      <c r="B6" t="s">
        <v>14</v>
      </c>
      <c r="C6">
        <v>550861.94000000006</v>
      </c>
      <c r="D6">
        <v>552468.52</v>
      </c>
      <c r="E6">
        <v>-1606.57</v>
      </c>
    </row>
    <row r="7" spans="1:5" x14ac:dyDescent="0.35">
      <c r="A7">
        <v>2022</v>
      </c>
      <c r="B7" t="s">
        <v>35</v>
      </c>
      <c r="C7">
        <v>570680.25</v>
      </c>
      <c r="D7">
        <v>551742.32999999996</v>
      </c>
      <c r="E7">
        <v>18937.900000000001</v>
      </c>
    </row>
    <row r="8" spans="1:5" x14ac:dyDescent="0.35">
      <c r="A8">
        <v>2022</v>
      </c>
      <c r="B8" t="s">
        <v>42</v>
      </c>
      <c r="C8">
        <v>541874.27</v>
      </c>
      <c r="D8">
        <v>554694.96</v>
      </c>
      <c r="E8">
        <v>-12820.72</v>
      </c>
    </row>
    <row r="9" spans="1:5" x14ac:dyDescent="0.35">
      <c r="A9">
        <v>2022</v>
      </c>
      <c r="B9" t="s">
        <v>49</v>
      </c>
      <c r="C9">
        <v>544343.06999999995</v>
      </c>
      <c r="D9">
        <v>564396.28</v>
      </c>
      <c r="E9">
        <v>-20053.21</v>
      </c>
    </row>
    <row r="10" spans="1:5" x14ac:dyDescent="0.35">
      <c r="A10">
        <v>2023</v>
      </c>
      <c r="B10" t="s">
        <v>14</v>
      </c>
      <c r="C10">
        <v>588249.16</v>
      </c>
      <c r="D10">
        <v>584012.89</v>
      </c>
      <c r="E10">
        <v>4236.2400000000007</v>
      </c>
    </row>
    <row r="11" spans="1:5" x14ac:dyDescent="0.35">
      <c r="A11">
        <v>2023</v>
      </c>
      <c r="B11" t="s">
        <v>35</v>
      </c>
      <c r="C11">
        <v>574934.55000000005</v>
      </c>
      <c r="D11">
        <v>575906.23</v>
      </c>
      <c r="E11">
        <v>-971.63999999999976</v>
      </c>
    </row>
    <row r="12" spans="1:5" x14ac:dyDescent="0.35">
      <c r="A12">
        <v>2023</v>
      </c>
      <c r="B12" t="s">
        <v>42</v>
      </c>
      <c r="C12">
        <v>589809.69999999995</v>
      </c>
      <c r="D12">
        <v>583062.25</v>
      </c>
      <c r="E12">
        <v>6747.44</v>
      </c>
    </row>
    <row r="13" spans="1:5" x14ac:dyDescent="0.35">
      <c r="A13">
        <v>2023</v>
      </c>
      <c r="B13" t="s">
        <v>49</v>
      </c>
      <c r="C13">
        <v>611148.86</v>
      </c>
      <c r="D13">
        <v>593129.43999999994</v>
      </c>
      <c r="E13">
        <v>18019.43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1018-4038-49F6-B124-C99DB863BEEB}">
  <dimension ref="B2:M154"/>
  <sheetViews>
    <sheetView tabSelected="1" topLeftCell="B61" zoomScale="64" workbookViewId="0">
      <selection activeCell="J58" sqref="J58"/>
    </sheetView>
  </sheetViews>
  <sheetFormatPr defaultRowHeight="14.5" x14ac:dyDescent="0.35"/>
  <cols>
    <col min="2" max="2" width="13.36328125" bestFit="1" customWidth="1"/>
    <col min="3" max="3" width="13.08984375" bestFit="1" customWidth="1"/>
    <col min="4" max="4" width="13.81640625" bestFit="1" customWidth="1"/>
    <col min="5" max="5" width="23.90625" bestFit="1" customWidth="1"/>
    <col min="6" max="6" width="15.1796875" bestFit="1" customWidth="1"/>
    <col min="7" max="436" width="16.453125" bestFit="1" customWidth="1"/>
    <col min="437" max="437" width="10.7265625" bestFit="1" customWidth="1"/>
  </cols>
  <sheetData>
    <row r="2" spans="2:10" x14ac:dyDescent="0.35">
      <c r="B2" s="6" t="s">
        <v>105</v>
      </c>
      <c r="C2" s="5"/>
      <c r="D2" s="5"/>
      <c r="E2" s="5"/>
      <c r="F2" s="5"/>
      <c r="G2" s="5"/>
      <c r="H2" s="5"/>
    </row>
    <row r="3" spans="2:10" x14ac:dyDescent="0.35">
      <c r="B3" s="5"/>
      <c r="C3" s="5"/>
      <c r="D3" s="5"/>
      <c r="E3" s="5"/>
      <c r="F3" s="5"/>
      <c r="G3" s="5"/>
      <c r="H3" s="5"/>
    </row>
    <row r="6" spans="2:10" ht="18.5" x14ac:dyDescent="0.45">
      <c r="G6" s="7" t="s">
        <v>106</v>
      </c>
      <c r="H6" s="5"/>
      <c r="I6" s="5"/>
      <c r="J6" s="5"/>
    </row>
    <row r="7" spans="2:10" x14ac:dyDescent="0.35">
      <c r="B7" s="1" t="s">
        <v>102</v>
      </c>
      <c r="C7" t="s">
        <v>103</v>
      </c>
      <c r="D7" t="s">
        <v>104</v>
      </c>
    </row>
    <row r="8" spans="2:10" x14ac:dyDescent="0.35">
      <c r="B8" s="2" t="s">
        <v>34</v>
      </c>
      <c r="C8" s="13">
        <v>181487.13</v>
      </c>
      <c r="D8" s="13">
        <v>172436.76</v>
      </c>
    </row>
    <row r="9" spans="2:10" x14ac:dyDescent="0.35">
      <c r="B9" s="2" t="s">
        <v>44</v>
      </c>
      <c r="C9" s="13">
        <v>172641</v>
      </c>
      <c r="D9" s="13">
        <v>176000.98</v>
      </c>
    </row>
    <row r="10" spans="2:10" x14ac:dyDescent="0.35">
      <c r="B10" s="2" t="s">
        <v>53</v>
      </c>
      <c r="C10" s="13">
        <v>169015.3</v>
      </c>
      <c r="D10" s="13">
        <v>181156.84999999998</v>
      </c>
    </row>
    <row r="11" spans="2:10" x14ac:dyDescent="0.35">
      <c r="B11" s="2" t="s">
        <v>30</v>
      </c>
      <c r="C11" s="13">
        <v>171990.30999999997</v>
      </c>
      <c r="D11" s="13">
        <v>172592.96000000002</v>
      </c>
    </row>
    <row r="12" spans="2:10" x14ac:dyDescent="0.35">
      <c r="B12" s="2" t="s">
        <v>11</v>
      </c>
      <c r="C12" s="13">
        <v>174968.16000000003</v>
      </c>
      <c r="D12" s="13">
        <v>176537.05000000005</v>
      </c>
    </row>
    <row r="13" spans="2:10" x14ac:dyDescent="0.35">
      <c r="B13" s="2" t="s">
        <v>41</v>
      </c>
      <c r="C13" s="13">
        <v>184805.76999999996</v>
      </c>
      <c r="D13" s="13">
        <v>178305.95</v>
      </c>
    </row>
    <row r="14" spans="2:10" x14ac:dyDescent="0.35">
      <c r="B14" s="2" t="s">
        <v>39</v>
      </c>
      <c r="C14" s="13">
        <v>175224.77000000005</v>
      </c>
      <c r="D14" s="13">
        <v>178957.11000000002</v>
      </c>
    </row>
    <row r="15" spans="2:10" x14ac:dyDescent="0.35">
      <c r="B15" s="2" t="s">
        <v>32</v>
      </c>
      <c r="C15" s="13">
        <v>165265.9</v>
      </c>
      <c r="D15" s="13">
        <v>174507.91999999998</v>
      </c>
    </row>
    <row r="16" spans="2:10" x14ac:dyDescent="0.35">
      <c r="B16" s="2" t="s">
        <v>37</v>
      </c>
      <c r="C16" s="13">
        <v>176065.70999999996</v>
      </c>
      <c r="D16" s="13">
        <v>174038.87999999998</v>
      </c>
    </row>
    <row r="17" spans="2:11" x14ac:dyDescent="0.35">
      <c r="B17" s="2" t="s">
        <v>51</v>
      </c>
      <c r="C17" s="13">
        <v>176495.90999999997</v>
      </c>
      <c r="D17" s="13">
        <v>176175.84</v>
      </c>
    </row>
    <row r="18" spans="2:11" x14ac:dyDescent="0.35">
      <c r="B18" s="2" t="s">
        <v>48</v>
      </c>
      <c r="C18" s="13">
        <v>173868.46000000002</v>
      </c>
      <c r="D18" s="13">
        <v>177155.43</v>
      </c>
    </row>
    <row r="19" spans="2:11" x14ac:dyDescent="0.35">
      <c r="B19" s="2" t="s">
        <v>46</v>
      </c>
      <c r="C19" s="13">
        <v>170196.68000000005</v>
      </c>
      <c r="D19" s="13">
        <v>174321.15999999997</v>
      </c>
    </row>
    <row r="23" spans="2:11" x14ac:dyDescent="0.35">
      <c r="F23" s="8" t="s">
        <v>109</v>
      </c>
      <c r="G23" s="5"/>
      <c r="H23" s="5"/>
      <c r="I23" s="5"/>
      <c r="J23" s="5"/>
      <c r="K23" s="5"/>
    </row>
    <row r="24" spans="2:11" x14ac:dyDescent="0.35">
      <c r="F24" s="5"/>
      <c r="G24" s="5"/>
      <c r="H24" s="5"/>
      <c r="I24" s="5"/>
      <c r="J24" s="5"/>
      <c r="K24" s="5"/>
    </row>
    <row r="25" spans="2:11" x14ac:dyDescent="0.35">
      <c r="B25" s="1" t="s">
        <v>102</v>
      </c>
      <c r="C25" t="s">
        <v>103</v>
      </c>
      <c r="D25" t="s">
        <v>104</v>
      </c>
    </row>
    <row r="26" spans="2:11" x14ac:dyDescent="0.35">
      <c r="B26" s="2" t="s">
        <v>61</v>
      </c>
      <c r="C26" s="13">
        <v>193868.11</v>
      </c>
      <c r="D26" s="13">
        <v>184826.15000000002</v>
      </c>
    </row>
    <row r="27" spans="2:11" x14ac:dyDescent="0.35">
      <c r="B27" s="2" t="s">
        <v>69</v>
      </c>
      <c r="C27" s="13">
        <v>179485.52999999997</v>
      </c>
      <c r="D27" s="13">
        <v>187422.71</v>
      </c>
    </row>
    <row r="28" spans="2:11" x14ac:dyDescent="0.35">
      <c r="B28" s="2" t="s">
        <v>77</v>
      </c>
      <c r="C28" s="13">
        <v>192118.62</v>
      </c>
      <c r="D28" s="13">
        <v>191852.45999999996</v>
      </c>
    </row>
    <row r="29" spans="2:11" x14ac:dyDescent="0.35">
      <c r="B29" s="2" t="s">
        <v>57</v>
      </c>
      <c r="C29" s="13">
        <v>192524.87</v>
      </c>
      <c r="D29" s="13">
        <v>187463.77</v>
      </c>
    </row>
    <row r="30" spans="2:11" x14ac:dyDescent="0.35">
      <c r="B30" s="2" t="s">
        <v>55</v>
      </c>
      <c r="C30" s="13">
        <v>181905.65000000002</v>
      </c>
      <c r="D30" s="13">
        <v>184879.57</v>
      </c>
    </row>
    <row r="31" spans="2:11" x14ac:dyDescent="0.35">
      <c r="B31" s="2" t="s">
        <v>67</v>
      </c>
      <c r="C31" s="13">
        <v>188140.53999999998</v>
      </c>
      <c r="D31" s="13">
        <v>185909.81</v>
      </c>
    </row>
    <row r="32" spans="2:11" x14ac:dyDescent="0.35">
      <c r="B32" s="2" t="s">
        <v>65</v>
      </c>
      <c r="C32" s="13">
        <v>191445.22999999998</v>
      </c>
      <c r="D32" s="13">
        <v>187046.6</v>
      </c>
    </row>
    <row r="33" spans="2:13" x14ac:dyDescent="0.35">
      <c r="B33" s="2" t="s">
        <v>59</v>
      </c>
      <c r="C33" s="13">
        <v>176431.41999999998</v>
      </c>
      <c r="D33" s="13">
        <v>180125.18</v>
      </c>
    </row>
    <row r="34" spans="2:13" x14ac:dyDescent="0.35">
      <c r="B34" s="2" t="s">
        <v>63</v>
      </c>
      <c r="C34" s="13">
        <v>185366.91</v>
      </c>
      <c r="D34" s="13">
        <v>179869.58000000002</v>
      </c>
    </row>
    <row r="35" spans="2:13" x14ac:dyDescent="0.35">
      <c r="B35" s="2" t="s">
        <v>75</v>
      </c>
      <c r="C35" s="13">
        <v>175446.55</v>
      </c>
      <c r="D35" s="13">
        <v>188104.81</v>
      </c>
    </row>
    <row r="36" spans="2:13" x14ac:dyDescent="0.35">
      <c r="B36" s="2" t="s">
        <v>73</v>
      </c>
      <c r="C36" s="13">
        <v>176777.89999999997</v>
      </c>
      <c r="D36" s="13">
        <v>184439.01</v>
      </c>
    </row>
    <row r="37" spans="2:13" x14ac:dyDescent="0.35">
      <c r="B37" s="2" t="s">
        <v>71</v>
      </c>
      <c r="C37" s="13">
        <v>174248.2</v>
      </c>
      <c r="D37" s="13">
        <v>181362.44</v>
      </c>
    </row>
    <row r="38" spans="2:13" x14ac:dyDescent="0.35">
      <c r="B38" s="2" t="s">
        <v>108</v>
      </c>
      <c r="C38" s="13">
        <v>2207759.5299999998</v>
      </c>
      <c r="D38" s="13">
        <v>2223302.0900000003</v>
      </c>
    </row>
    <row r="44" spans="2:13" x14ac:dyDescent="0.35">
      <c r="F44" s="9" t="s">
        <v>111</v>
      </c>
      <c r="G44" s="5"/>
      <c r="H44" s="5"/>
      <c r="I44" s="5"/>
      <c r="J44" s="5"/>
      <c r="K44" s="5"/>
      <c r="L44" s="5"/>
      <c r="M44" s="5"/>
    </row>
    <row r="45" spans="2:13" x14ac:dyDescent="0.35">
      <c r="F45" s="5"/>
      <c r="G45" s="5"/>
      <c r="H45" s="5"/>
      <c r="I45" s="5"/>
      <c r="J45" s="5"/>
      <c r="K45" s="5"/>
      <c r="L45" s="5"/>
      <c r="M45" s="5"/>
    </row>
    <row r="46" spans="2:13" x14ac:dyDescent="0.35">
      <c r="F46" s="5"/>
      <c r="G46" s="5"/>
      <c r="H46" s="5"/>
      <c r="I46" s="5"/>
      <c r="J46" s="5"/>
      <c r="K46" s="5"/>
      <c r="L46" s="5"/>
      <c r="M46" s="5"/>
    </row>
    <row r="50" spans="5:6" x14ac:dyDescent="0.35">
      <c r="E50" s="1" t="s">
        <v>102</v>
      </c>
      <c r="F50" t="s">
        <v>110</v>
      </c>
    </row>
    <row r="51" spans="5:6" x14ac:dyDescent="0.35">
      <c r="E51" s="2" t="s">
        <v>13</v>
      </c>
      <c r="F51" s="13">
        <v>-22300.01999999999</v>
      </c>
    </row>
    <row r="52" spans="5:6" x14ac:dyDescent="0.35">
      <c r="E52" s="3" t="s">
        <v>25</v>
      </c>
      <c r="F52" s="13">
        <v>8044.43</v>
      </c>
    </row>
    <row r="53" spans="5:6" x14ac:dyDescent="0.35">
      <c r="E53" s="3" t="s">
        <v>21</v>
      </c>
      <c r="F53" s="13">
        <v>1786.6500000000005</v>
      </c>
    </row>
    <row r="54" spans="5:6" x14ac:dyDescent="0.35">
      <c r="E54" s="3" t="s">
        <v>27</v>
      </c>
      <c r="F54" s="13">
        <v>-4690.07</v>
      </c>
    </row>
    <row r="55" spans="5:6" x14ac:dyDescent="0.35">
      <c r="E55" s="3" t="s">
        <v>12</v>
      </c>
      <c r="F55" s="13">
        <v>-28415.349999999991</v>
      </c>
    </row>
    <row r="56" spans="5:6" x14ac:dyDescent="0.35">
      <c r="E56" s="3" t="s">
        <v>24</v>
      </c>
      <c r="F56" s="13">
        <v>974.31999999999994</v>
      </c>
    </row>
    <row r="57" spans="5:6" x14ac:dyDescent="0.35">
      <c r="E57" s="2" t="s">
        <v>20</v>
      </c>
      <c r="F57" s="13">
        <v>11442.189999999999</v>
      </c>
    </row>
    <row r="58" spans="5:6" x14ac:dyDescent="0.35">
      <c r="E58" s="3" t="s">
        <v>28</v>
      </c>
      <c r="F58" s="13">
        <v>2106.0099999999984</v>
      </c>
    </row>
    <row r="59" spans="5:6" x14ac:dyDescent="0.35">
      <c r="E59" s="3" t="s">
        <v>19</v>
      </c>
      <c r="F59" s="13">
        <v>9336.18</v>
      </c>
    </row>
    <row r="60" spans="5:6" x14ac:dyDescent="0.35">
      <c r="E60" s="2" t="s">
        <v>15</v>
      </c>
      <c r="F60" s="13">
        <v>-163.88999999999896</v>
      </c>
    </row>
    <row r="61" spans="5:6" x14ac:dyDescent="0.35">
      <c r="E61" s="3" t="s">
        <v>15</v>
      </c>
      <c r="F61" s="13">
        <v>-163.88999999999896</v>
      </c>
    </row>
    <row r="62" spans="5:6" x14ac:dyDescent="0.35">
      <c r="E62" s="2" t="s">
        <v>17</v>
      </c>
      <c r="F62" s="13">
        <v>6100.0600000000013</v>
      </c>
    </row>
    <row r="63" spans="5:6" x14ac:dyDescent="0.35">
      <c r="E63" s="3" t="s">
        <v>26</v>
      </c>
      <c r="F63" s="13">
        <v>1399.5200000000002</v>
      </c>
    </row>
    <row r="64" spans="5:6" x14ac:dyDescent="0.35">
      <c r="E64" s="3" t="s">
        <v>16</v>
      </c>
      <c r="F64" s="13">
        <v>5370.2400000000007</v>
      </c>
    </row>
    <row r="65" spans="4:10" x14ac:dyDescent="0.35">
      <c r="E65" s="3" t="s">
        <v>18</v>
      </c>
      <c r="F65" s="13">
        <v>-669.70000000000027</v>
      </c>
    </row>
    <row r="66" spans="4:10" x14ac:dyDescent="0.35">
      <c r="E66" s="2" t="s">
        <v>23</v>
      </c>
      <c r="F66" s="13">
        <v>-2751.2899999999995</v>
      </c>
    </row>
    <row r="67" spans="4:10" x14ac:dyDescent="0.35">
      <c r="E67" s="3" t="s">
        <v>22</v>
      </c>
      <c r="F67" s="13">
        <v>-2751.2899999999995</v>
      </c>
    </row>
    <row r="68" spans="4:10" x14ac:dyDescent="0.35">
      <c r="E68" s="2" t="s">
        <v>107</v>
      </c>
      <c r="F68" s="13"/>
    </row>
    <row r="69" spans="4:10" x14ac:dyDescent="0.35">
      <c r="E69" s="2" t="s">
        <v>108</v>
      </c>
      <c r="F69" s="13">
        <v>-7672.949999999988</v>
      </c>
    </row>
    <row r="73" spans="4:10" x14ac:dyDescent="0.35">
      <c r="G73" s="10" t="s">
        <v>112</v>
      </c>
      <c r="H73" s="5"/>
      <c r="I73" s="5"/>
      <c r="J73" s="5"/>
    </row>
    <row r="74" spans="4:10" x14ac:dyDescent="0.35">
      <c r="G74" s="5"/>
      <c r="H74" s="5"/>
      <c r="I74" s="5"/>
      <c r="J74" s="5"/>
    </row>
    <row r="75" spans="4:10" x14ac:dyDescent="0.35">
      <c r="G75" s="5"/>
      <c r="H75" s="5"/>
      <c r="I75" s="5"/>
      <c r="J75" s="5"/>
    </row>
    <row r="80" spans="4:10" x14ac:dyDescent="0.35">
      <c r="D80" s="1" t="s">
        <v>102</v>
      </c>
      <c r="E80" t="s">
        <v>103</v>
      </c>
      <c r="F80" t="s">
        <v>104</v>
      </c>
    </row>
    <row r="81" spans="4:6" x14ac:dyDescent="0.35">
      <c r="D81" s="2" t="s">
        <v>13</v>
      </c>
      <c r="E81" s="13">
        <v>3766849.6300000022</v>
      </c>
      <c r="F81" s="13">
        <v>3789149.6699999985</v>
      </c>
    </row>
    <row r="82" spans="4:6" x14ac:dyDescent="0.35">
      <c r="D82" s="2" t="s">
        <v>20</v>
      </c>
      <c r="E82" s="13">
        <v>803783.89999999967</v>
      </c>
      <c r="F82" s="13">
        <v>792341.66000000038</v>
      </c>
    </row>
    <row r="83" spans="4:6" x14ac:dyDescent="0.35">
      <c r="D83" s="2" t="s">
        <v>15</v>
      </c>
      <c r="E83" s="13">
        <v>608682.25999999989</v>
      </c>
      <c r="F83" s="13">
        <v>608846.11</v>
      </c>
    </row>
    <row r="84" spans="4:6" x14ac:dyDescent="0.35">
      <c r="D84" s="2" t="s">
        <v>17</v>
      </c>
      <c r="E84" s="13">
        <v>1154781.8799999994</v>
      </c>
      <c r="F84" s="13">
        <v>1148681.8400000001</v>
      </c>
    </row>
    <row r="85" spans="4:6" x14ac:dyDescent="0.35">
      <c r="D85" s="2" t="s">
        <v>23</v>
      </c>
      <c r="E85" s="13">
        <v>329829.23</v>
      </c>
      <c r="F85" s="13">
        <v>332580.50999999995</v>
      </c>
    </row>
    <row r="86" spans="4:6" x14ac:dyDescent="0.35">
      <c r="D86" s="2" t="s">
        <v>107</v>
      </c>
      <c r="E86" s="13"/>
      <c r="F86" s="13"/>
    </row>
    <row r="87" spans="4:6" x14ac:dyDescent="0.35">
      <c r="D87" s="2" t="s">
        <v>108</v>
      </c>
      <c r="E87" s="13">
        <v>6663926.9000000022</v>
      </c>
      <c r="F87" s="13">
        <v>6671599.7899999991</v>
      </c>
    </row>
    <row r="98" spans="4:12" x14ac:dyDescent="0.35">
      <c r="G98" s="4" t="s">
        <v>113</v>
      </c>
      <c r="H98" s="5"/>
      <c r="I98" s="5"/>
      <c r="J98" s="5"/>
      <c r="K98" s="5"/>
      <c r="L98" s="5"/>
    </row>
    <row r="99" spans="4:12" x14ac:dyDescent="0.35">
      <c r="G99" s="5"/>
      <c r="H99" s="5"/>
      <c r="I99" s="5"/>
      <c r="J99" s="5"/>
      <c r="K99" s="5"/>
      <c r="L99" s="5"/>
    </row>
    <row r="100" spans="4:12" x14ac:dyDescent="0.35">
      <c r="G100" s="5"/>
      <c r="H100" s="5"/>
      <c r="I100" s="5"/>
      <c r="J100" s="5"/>
      <c r="K100" s="5"/>
      <c r="L100" s="5"/>
    </row>
    <row r="104" spans="4:12" x14ac:dyDescent="0.35">
      <c r="D104" s="1" t="s">
        <v>102</v>
      </c>
      <c r="E104" t="s">
        <v>103</v>
      </c>
    </row>
    <row r="105" spans="4:12" x14ac:dyDescent="0.35">
      <c r="D105" s="2" t="s">
        <v>28</v>
      </c>
      <c r="E105" s="13">
        <v>341504.62</v>
      </c>
    </row>
    <row r="106" spans="4:12" x14ac:dyDescent="0.35">
      <c r="D106" s="2" t="s">
        <v>25</v>
      </c>
      <c r="E106" s="13">
        <v>233449.34999999998</v>
      </c>
    </row>
    <row r="107" spans="4:12" x14ac:dyDescent="0.35">
      <c r="D107" s="2" t="s">
        <v>26</v>
      </c>
      <c r="E107" s="13">
        <v>192748.99</v>
      </c>
    </row>
    <row r="108" spans="4:12" x14ac:dyDescent="0.35">
      <c r="D108" s="2" t="s">
        <v>15</v>
      </c>
      <c r="E108" s="13">
        <v>608682.25999999989</v>
      </c>
    </row>
    <row r="109" spans="4:12" x14ac:dyDescent="0.35">
      <c r="D109" s="2" t="s">
        <v>21</v>
      </c>
      <c r="E109" s="13">
        <v>115260.42</v>
      </c>
    </row>
    <row r="110" spans="4:12" x14ac:dyDescent="0.35">
      <c r="D110" s="2" t="s">
        <v>27</v>
      </c>
      <c r="E110" s="13">
        <v>259745.53</v>
      </c>
    </row>
    <row r="111" spans="4:12" x14ac:dyDescent="0.35">
      <c r="D111" s="2" t="s">
        <v>16</v>
      </c>
      <c r="E111" s="13">
        <v>760980.54</v>
      </c>
    </row>
    <row r="112" spans="4:12" x14ac:dyDescent="0.35">
      <c r="D112" s="2" t="s">
        <v>12</v>
      </c>
      <c r="E112" s="13">
        <v>3006503.9500000007</v>
      </c>
    </row>
    <row r="113" spans="4:13" x14ac:dyDescent="0.35">
      <c r="D113" s="2" t="s">
        <v>19</v>
      </c>
      <c r="E113" s="13">
        <v>462279.27999999991</v>
      </c>
    </row>
    <row r="114" spans="4:13" x14ac:dyDescent="0.35">
      <c r="D114" s="2" t="s">
        <v>24</v>
      </c>
      <c r="E114" s="13">
        <v>151890.37999999998</v>
      </c>
    </row>
    <row r="115" spans="4:13" x14ac:dyDescent="0.35">
      <c r="D115" s="2" t="s">
        <v>22</v>
      </c>
      <c r="E115" s="13">
        <v>329829.23</v>
      </c>
    </row>
    <row r="116" spans="4:13" x14ac:dyDescent="0.35">
      <c r="D116" s="2" t="s">
        <v>18</v>
      </c>
      <c r="E116" s="13">
        <v>201052.35</v>
      </c>
    </row>
    <row r="117" spans="4:13" x14ac:dyDescent="0.35">
      <c r="D117" s="2" t="s">
        <v>107</v>
      </c>
      <c r="E117" s="13"/>
    </row>
    <row r="118" spans="4:13" x14ac:dyDescent="0.35">
      <c r="D118" s="2" t="s">
        <v>108</v>
      </c>
      <c r="E118" s="13">
        <v>6663926.9000000004</v>
      </c>
    </row>
    <row r="127" spans="4:13" x14ac:dyDescent="0.35">
      <c r="F127" s="11" t="s">
        <v>114</v>
      </c>
      <c r="G127" s="12"/>
      <c r="H127" s="12"/>
      <c r="I127" s="12"/>
      <c r="J127" s="12"/>
      <c r="K127" s="12"/>
      <c r="L127" s="12"/>
      <c r="M127" s="12"/>
    </row>
    <row r="128" spans="4:13" x14ac:dyDescent="0.35">
      <c r="F128" s="12"/>
      <c r="G128" s="12"/>
      <c r="H128" s="12"/>
      <c r="I128" s="12"/>
      <c r="J128" s="12"/>
      <c r="K128" s="12"/>
      <c r="L128" s="12"/>
      <c r="M128" s="12"/>
    </row>
    <row r="129" spans="6:13" x14ac:dyDescent="0.35">
      <c r="F129" s="12"/>
      <c r="G129" s="12"/>
      <c r="H129" s="12"/>
      <c r="I129" s="12"/>
      <c r="J129" s="12"/>
      <c r="K129" s="12"/>
      <c r="L129" s="12"/>
      <c r="M129" s="12"/>
    </row>
    <row r="130" spans="6:13" x14ac:dyDescent="0.35">
      <c r="F130" s="12"/>
      <c r="G130" s="12"/>
      <c r="H130" s="12"/>
      <c r="I130" s="12"/>
      <c r="J130" s="12"/>
      <c r="K130" s="12"/>
      <c r="L130" s="12"/>
      <c r="M130" s="12"/>
    </row>
    <row r="136" spans="6:13" x14ac:dyDescent="0.35">
      <c r="L136" t="s">
        <v>115</v>
      </c>
      <c r="M136">
        <f>I149+I149*0.1</f>
        <v>3307154.3450000007</v>
      </c>
    </row>
    <row r="137" spans="6:13" x14ac:dyDescent="0.35">
      <c r="L137" t="s">
        <v>116</v>
      </c>
      <c r="M137">
        <f>I145-I145*0.15</f>
        <v>517379.92099999991</v>
      </c>
    </row>
    <row r="138" spans="6:13" x14ac:dyDescent="0.35">
      <c r="L138" t="s">
        <v>117</v>
      </c>
      <c r="M138">
        <f>I148+I148*0.05</f>
        <v>799029.56700000004</v>
      </c>
    </row>
    <row r="141" spans="6:13" x14ac:dyDescent="0.35">
      <c r="I141" t="s">
        <v>118</v>
      </c>
      <c r="J141" t="s">
        <v>119</v>
      </c>
      <c r="K141" t="s">
        <v>121</v>
      </c>
    </row>
    <row r="142" spans="6:13" x14ac:dyDescent="0.35">
      <c r="H142" s="2" t="s">
        <v>28</v>
      </c>
      <c r="I142" s="13">
        <v>341504.62</v>
      </c>
      <c r="J142" s="13">
        <v>339398.6100000001</v>
      </c>
      <c r="K142" s="13">
        <v>341504.62</v>
      </c>
    </row>
    <row r="143" spans="6:13" x14ac:dyDescent="0.35">
      <c r="H143" s="2" t="s">
        <v>25</v>
      </c>
      <c r="I143" s="13">
        <v>233449.34999999998</v>
      </c>
      <c r="J143" s="13">
        <v>225404.93</v>
      </c>
      <c r="K143" s="13">
        <v>233449.34999999998</v>
      </c>
    </row>
    <row r="144" spans="6:13" x14ac:dyDescent="0.35">
      <c r="H144" s="2" t="s">
        <v>26</v>
      </c>
      <c r="I144" s="13">
        <v>192748.99</v>
      </c>
      <c r="J144" s="13">
        <v>191349.5</v>
      </c>
      <c r="K144" s="13">
        <v>192748.99</v>
      </c>
    </row>
    <row r="145" spans="8:11" x14ac:dyDescent="0.35">
      <c r="H145" s="2" t="s">
        <v>15</v>
      </c>
      <c r="I145" s="13">
        <v>608682.25999999989</v>
      </c>
      <c r="J145" s="13">
        <v>608846.11</v>
      </c>
      <c r="K145" s="13">
        <f>M137</f>
        <v>517379.92099999991</v>
      </c>
    </row>
    <row r="146" spans="8:11" x14ac:dyDescent="0.35">
      <c r="H146" s="2" t="s">
        <v>21</v>
      </c>
      <c r="I146" s="13">
        <v>115260.42</v>
      </c>
      <c r="J146" s="13">
        <v>113473.79999999997</v>
      </c>
      <c r="K146" s="13">
        <v>115260.42</v>
      </c>
    </row>
    <row r="147" spans="8:11" x14ac:dyDescent="0.35">
      <c r="H147" s="2" t="s">
        <v>27</v>
      </c>
      <c r="I147" s="13">
        <v>259745.53</v>
      </c>
      <c r="J147" s="13">
        <v>264435.58</v>
      </c>
      <c r="K147" s="13">
        <v>259745.53</v>
      </c>
    </row>
    <row r="148" spans="8:11" x14ac:dyDescent="0.35">
      <c r="H148" s="2" t="s">
        <v>16</v>
      </c>
      <c r="I148" s="13">
        <v>760980.54</v>
      </c>
      <c r="J148" s="13">
        <v>755610.30999999994</v>
      </c>
      <c r="K148" s="13">
        <f>M138</f>
        <v>799029.56700000004</v>
      </c>
    </row>
    <row r="149" spans="8:11" x14ac:dyDescent="0.35">
      <c r="H149" s="2" t="s">
        <v>12</v>
      </c>
      <c r="I149" s="13">
        <v>3006503.9500000007</v>
      </c>
      <c r="J149" s="13">
        <v>3034919.2800000003</v>
      </c>
      <c r="K149" s="13">
        <f>M136</f>
        <v>3307154.3450000007</v>
      </c>
    </row>
    <row r="150" spans="8:11" x14ac:dyDescent="0.35">
      <c r="H150" s="2" t="s">
        <v>19</v>
      </c>
      <c r="I150" s="13">
        <v>462279.27999999991</v>
      </c>
      <c r="J150" s="13">
        <v>452943.0500000001</v>
      </c>
      <c r="K150" s="13">
        <v>462279.27999999991</v>
      </c>
    </row>
    <row r="151" spans="8:11" x14ac:dyDescent="0.35">
      <c r="H151" s="2" t="s">
        <v>24</v>
      </c>
      <c r="I151" s="13">
        <v>151890.37999999998</v>
      </c>
      <c r="J151" s="13">
        <v>150916.07999999999</v>
      </c>
      <c r="K151" s="13">
        <v>151890.37999999998</v>
      </c>
    </row>
    <row r="152" spans="8:11" x14ac:dyDescent="0.35">
      <c r="H152" s="2" t="s">
        <v>22</v>
      </c>
      <c r="I152" s="13">
        <v>329829.23</v>
      </c>
      <c r="J152" s="13">
        <v>332580.50999999995</v>
      </c>
      <c r="K152" s="13">
        <v>329829.23</v>
      </c>
    </row>
    <row r="153" spans="8:11" x14ac:dyDescent="0.35">
      <c r="H153" s="2" t="s">
        <v>18</v>
      </c>
      <c r="I153" s="13">
        <v>201052.35</v>
      </c>
      <c r="J153" s="13">
        <v>201722.02999999994</v>
      </c>
      <c r="K153" s="13">
        <v>201052.35</v>
      </c>
    </row>
    <row r="154" spans="8:11" x14ac:dyDescent="0.35">
      <c r="H154" s="2" t="s">
        <v>120</v>
      </c>
      <c r="I154">
        <f>SUM(I142:I153)</f>
        <v>6663926.9000000004</v>
      </c>
      <c r="J154">
        <f>SUM(J142:J153)</f>
        <v>6671599.79</v>
      </c>
      <c r="K154">
        <f>SUM(K142:K153)</f>
        <v>6911323.9830000009</v>
      </c>
    </row>
  </sheetData>
  <scenarios current="1" show="1">
    <scenario name="original" locked="1" count="24" user="lenovo thinkpad" comment="Created by lenovo thinkpad on 13/12/2025">
      <inputCells r="D138" val="Equipment"/>
      <inputCells r="E138" val="341504.62"/>
      <inputCells r="D139" val="Insurance"/>
      <inputCells r="E139" val="233449.35"/>
      <inputCells r="D140" val="Maintenance"/>
      <inputCells r="E140" val="192748.99"/>
      <inputCells r="D141" val="Marketing"/>
      <inputCells r="E141" val="608682.26"/>
      <inputCells r="D142" val="Office Supplies"/>
      <inputCells r="E142" val="115260.42"/>
      <inputCells r="D143" val="Professional Services"/>
      <inputCells r="E143" val="259745.53"/>
      <inputCells r="D144" val="Rent"/>
      <inputCells r="E144" val="760980.54"/>
      <inputCells r="D145" val="Salaries"/>
      <inputCells r="E145" val="3006503.95"/>
      <inputCells r="D146" val="Software Subscriptions"/>
      <inputCells r="E146" val="462279.28"/>
      <inputCells r="D147" val="Training"/>
      <inputCells r="E147" val="151890.38"/>
      <inputCells r="D148" val="Travel"/>
      <inputCells r="E148" val="329829.23"/>
      <inputCells r="D149" val="Utilities"/>
      <inputCells r="E149" val="201052.35"/>
    </scenario>
    <scenario name="up&amp;downs" locked="1" count="24" user="lenovo thinkpad" comment="Created by lenovo thinkpad on 13/12/2025">
      <inputCells r="D138" val="Equipment"/>
      <inputCells r="E138" val="341504.62"/>
      <inputCells r="D139" val="Insurance"/>
      <inputCells r="E139" val="233449.35"/>
      <inputCells r="D140" val="Maintenance"/>
      <inputCells r="E140" val="192748.99"/>
      <inputCells r="D141" val="Marketing"/>
      <inputCells r="E141" val="517379.921"/>
      <inputCells r="D142" val="Office Supplies"/>
      <inputCells r="E142" val="115260.42"/>
      <inputCells r="D143" val="Professional Services"/>
      <inputCells r="E143" val="259745.53"/>
      <inputCells r="D144" val="Rent"/>
      <inputCells r="E144" val="799029.567"/>
      <inputCells r="D145" val="Salaries"/>
      <inputCells r="E145" val="3307154.345"/>
      <inputCells r="D146" val="Software Subscriptions"/>
      <inputCells r="E146" val="462279.28"/>
      <inputCells r="D147" val="Training"/>
      <inputCells r="E147" val="151890.38"/>
      <inputCells r="D148" val="Travel"/>
      <inputCells r="E148" val="329829.23"/>
      <inputCells r="D149" val="Utilities"/>
      <inputCells r="E149" val="201052.35"/>
    </scenario>
  </scenarios>
  <mergeCells count="7">
    <mergeCell ref="F127:M130"/>
    <mergeCell ref="G98:L100"/>
    <mergeCell ref="B2:H3"/>
    <mergeCell ref="G6:J6"/>
    <mergeCell ref="F23:K24"/>
    <mergeCell ref="F44:M46"/>
    <mergeCell ref="G73:J75"/>
  </mergeCells>
  <conditionalFormatting pivot="1" sqref="C8:C19">
    <cfRule type="expression" dxfId="1" priority="2">
      <formula>C8&gt;D8</formula>
    </cfRule>
  </conditionalFormatting>
  <conditionalFormatting pivot="1" sqref="C26:C38">
    <cfRule type="expression" dxfId="0" priority="1">
      <formula>C26&gt;D26</formula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</vt:lpstr>
      <vt:lpstr>Monthly</vt:lpstr>
      <vt:lpstr>Quarterly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Bayazeed Babu Mylamuri</cp:lastModifiedBy>
  <dcterms:created xsi:type="dcterms:W3CDTF">2025-12-06T14:58:21Z</dcterms:created>
  <dcterms:modified xsi:type="dcterms:W3CDTF">2025-12-13T05:32:51Z</dcterms:modified>
</cp:coreProperties>
</file>